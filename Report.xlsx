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Undervalued Stock Trade Tracking_Masked\"/>
    </mc:Choice>
  </mc:AlternateContent>
  <xr:revisionPtr revIDLastSave="0" documentId="13_ncr:1_{62E96BD8-E182-40BB-8792-30524729D0FD}" xr6:coauthVersionLast="47" xr6:coauthVersionMax="47" xr10:uidLastSave="{00000000-0000-0000-0000-000000000000}"/>
  <bookViews>
    <workbookView xWindow="-120" yWindow="-120" windowWidth="29040" windowHeight="15720" firstSheet="3" activeTab="4" xr2:uid="{9331F6C7-BBF4-4845-98E6-028529EDACC5}"/>
  </bookViews>
  <sheets>
    <sheet name="Dynamic Path" sheetId="1" state="hidden" r:id="rId1"/>
    <sheet name="undervalued_trades" sheetId="2" state="hidden" r:id="rId2"/>
    <sheet name="value weight chart" sheetId="7" state="hidden" r:id="rId3"/>
    <sheet name="Trades Summary" sheetId="4" r:id="rId4"/>
    <sheet name="Undervalued Stocks" sheetId="3" r:id="rId5"/>
    <sheet name="Monthly P&amp;L" sheetId="6" r:id="rId6"/>
  </sheets>
  <definedNames>
    <definedName name="_xlchart.v1.0" hidden="1">'value weight chart'!$A$2:$B$67</definedName>
    <definedName name="_xlchart.v1.1" hidden="1">'value weight chart'!$C$1</definedName>
    <definedName name="_xlchart.v1.2" hidden="1">'value weight chart'!$C$2:$C$67</definedName>
    <definedName name="_xlchart.v1.3" hidden="1">'Monthly P&amp;L'!$A$2:$A$16</definedName>
    <definedName name="_xlchart.v1.4" hidden="1">'Monthly P&amp;L'!$B$2:$B$16</definedName>
    <definedName name="_xlcn.WorksheetConnection_Report.xlsxundervalued_trades" hidden="1">undervalued_trades[]</definedName>
    <definedName name="ExternalData_1" localSheetId="4" hidden="1">'Undervalued Stocks'!$A$4:$C$70</definedName>
    <definedName name="ExternalData_1" localSheetId="1" hidden="1">undervalued_trades!$A$1:$E$136</definedName>
    <definedName name="ExternalData_1" localSheetId="2" hidden="1">'value weight chart'!$A$1:$D$66</definedName>
    <definedName name="pivot" localSheetId="5">'Monthly P&amp;L'!$A$1:$G$66</definedName>
    <definedName name="pivot" localSheetId="3">'Trades Summary'!$A$3:$H$68</definedName>
    <definedName name="pivot">'Undervalued Stocks'!$A$4:$G$70</definedName>
  </definedNames>
  <calcPr calcId="191029"/>
  <pivotCaches>
    <pivotCache cacheId="14" r:id="rId7"/>
    <pivotCache cacheId="1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ndervalued_trades" name="undervalued_trades" connection="WorksheetConnection_Report.xlsx!undervalued_trades"/>
        </x15:modelTables>
        <x15:extLst>
          <ext xmlns:x16="http://schemas.microsoft.com/office/spreadsheetml/2014/11/main" uri="{9835A34E-60A6-4A7C-AAB8-D5F71C897F49}">
            <x16:modelTimeGroupings>
              <x16:modelTimeGrouping tableName="undervalued_trades" columnName="Exec Time" columnId="Exec Time">
                <x16:calculatedTimeColumn columnName="Exec Time (Year)" columnId="Exec Time (Year)" contentType="years" isSelected="1"/>
                <x16:calculatedTimeColumn columnName="Exec Time (Quarter)" columnId="Exec Time (Quarter)" contentType="quarters" isSelected="1"/>
                <x16:calculatedTimeColumn columnName="Exec Time (Month Index)" columnId="Exec Time (Month Index)" contentType="monthsindex" isSelected="1"/>
                <x16:calculatedTimeColumn columnName="Exec Time (Month)" columnId="Exec 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66" i="3"/>
  <c r="D15" i="3"/>
  <c r="D37" i="3"/>
  <c r="D53" i="3"/>
  <c r="D9" i="3"/>
  <c r="D32" i="3"/>
  <c r="D34" i="3"/>
  <c r="D46" i="3"/>
  <c r="D39" i="3"/>
  <c r="D13" i="3"/>
  <c r="D67" i="3"/>
  <c r="D40" i="3"/>
  <c r="D17" i="3"/>
  <c r="D33" i="3"/>
  <c r="F33" i="3" s="1"/>
  <c r="G33" i="3" s="1"/>
  <c r="D24" i="3"/>
  <c r="D43" i="3"/>
  <c r="D21" i="3"/>
  <c r="D31" i="3"/>
  <c r="F31" i="3" s="1"/>
  <c r="G31" i="3" s="1"/>
  <c r="D49" i="3"/>
  <c r="D36" i="3"/>
  <c r="D22" i="3"/>
  <c r="D18" i="3"/>
  <c r="D50" i="3"/>
  <c r="D11" i="3"/>
  <c r="D30" i="3"/>
  <c r="D57" i="3"/>
  <c r="D25" i="3"/>
  <c r="D44" i="3"/>
  <c r="D61" i="3"/>
  <c r="D23" i="3"/>
  <c r="D29" i="3"/>
  <c r="D41" i="3"/>
  <c r="D51" i="3"/>
  <c r="D10" i="3"/>
  <c r="F10" i="3" s="1"/>
  <c r="G10" i="3" s="1"/>
  <c r="D5" i="3"/>
  <c r="D19" i="3"/>
  <c r="D56" i="3"/>
  <c r="D20" i="3"/>
  <c r="D62" i="3"/>
  <c r="D55" i="3"/>
  <c r="D38" i="3"/>
  <c r="D14" i="3"/>
  <c r="D65" i="3"/>
  <c r="D8" i="3"/>
  <c r="D64" i="3"/>
  <c r="D70" i="3"/>
  <c r="D47" i="3"/>
  <c r="D27" i="3"/>
  <c r="D45" i="3"/>
  <c r="D35" i="3"/>
  <c r="D26" i="3"/>
  <c r="D12" i="3"/>
  <c r="D52" i="3"/>
  <c r="D59" i="3"/>
  <c r="F59" i="3" s="1"/>
  <c r="G59" i="3" s="1"/>
  <c r="D54" i="3"/>
  <c r="D6" i="3"/>
  <c r="D60" i="3"/>
  <c r="D69" i="3"/>
  <c r="F69" i="3" s="1"/>
  <c r="G69" i="3" s="1"/>
  <c r="D58" i="3"/>
  <c r="D48" i="3"/>
  <c r="D63" i="3"/>
  <c r="D16" i="3"/>
  <c r="D42" i="3"/>
  <c r="D28" i="3"/>
  <c r="D7" i="3"/>
  <c r="E68" i="3"/>
  <c r="E66" i="3"/>
  <c r="E15" i="3"/>
  <c r="E37" i="3"/>
  <c r="E53" i="3"/>
  <c r="E9" i="3"/>
  <c r="E32" i="3"/>
  <c r="E34" i="3"/>
  <c r="E46" i="3"/>
  <c r="F46" i="3" s="1"/>
  <c r="G46" i="3" s="1"/>
  <c r="E39" i="3"/>
  <c r="F39" i="3" s="1"/>
  <c r="G39" i="3" s="1"/>
  <c r="E13" i="3"/>
  <c r="F13" i="3" s="1"/>
  <c r="G13" i="3" s="1"/>
  <c r="E67" i="3"/>
  <c r="F67" i="3" s="1"/>
  <c r="G67" i="3" s="1"/>
  <c r="E40" i="3"/>
  <c r="F40" i="3" s="1"/>
  <c r="G40" i="3" s="1"/>
  <c r="E17" i="3"/>
  <c r="F17" i="3" s="1"/>
  <c r="G17" i="3" s="1"/>
  <c r="E33" i="3"/>
  <c r="E24" i="3"/>
  <c r="E43" i="3"/>
  <c r="E21" i="3"/>
  <c r="E31" i="3"/>
  <c r="E49" i="3"/>
  <c r="E36" i="3"/>
  <c r="F36" i="3" s="1"/>
  <c r="G36" i="3" s="1"/>
  <c r="E22" i="3"/>
  <c r="F22" i="3" s="1"/>
  <c r="G22" i="3" s="1"/>
  <c r="E18" i="3"/>
  <c r="F18" i="3" s="1"/>
  <c r="G18" i="3" s="1"/>
  <c r="E50" i="3"/>
  <c r="F50" i="3" s="1"/>
  <c r="G50" i="3" s="1"/>
  <c r="E11" i="3"/>
  <c r="F11" i="3" s="1"/>
  <c r="G11" i="3" s="1"/>
  <c r="E30" i="3"/>
  <c r="F30" i="3" s="1"/>
  <c r="G30" i="3" s="1"/>
  <c r="E57" i="3"/>
  <c r="F57" i="3" s="1"/>
  <c r="G57" i="3" s="1"/>
  <c r="E25" i="3"/>
  <c r="F25" i="3" s="1"/>
  <c r="G25" i="3" s="1"/>
  <c r="E44" i="3"/>
  <c r="F44" i="3" s="1"/>
  <c r="G44" i="3" s="1"/>
  <c r="E61" i="3"/>
  <c r="F61" i="3" s="1"/>
  <c r="G61" i="3" s="1"/>
  <c r="E23" i="3"/>
  <c r="F23" i="3" s="1"/>
  <c r="G23" i="3" s="1"/>
  <c r="E29" i="3"/>
  <c r="F29" i="3" s="1"/>
  <c r="G29" i="3" s="1"/>
  <c r="E41" i="3"/>
  <c r="F41" i="3" s="1"/>
  <c r="G41" i="3" s="1"/>
  <c r="E51" i="3"/>
  <c r="F51" i="3" s="1"/>
  <c r="G51" i="3" s="1"/>
  <c r="E10" i="3"/>
  <c r="E5" i="3"/>
  <c r="E19" i="3"/>
  <c r="E56" i="3"/>
  <c r="E20" i="3"/>
  <c r="E62" i="3"/>
  <c r="E55" i="3"/>
  <c r="F55" i="3" s="1"/>
  <c r="G55" i="3" s="1"/>
  <c r="E38" i="3"/>
  <c r="F38" i="3" s="1"/>
  <c r="G38" i="3" s="1"/>
  <c r="E14" i="3"/>
  <c r="F14" i="3" s="1"/>
  <c r="G14" i="3" s="1"/>
  <c r="E65" i="3"/>
  <c r="F65" i="3" s="1"/>
  <c r="G65" i="3" s="1"/>
  <c r="E8" i="3"/>
  <c r="F8" i="3" s="1"/>
  <c r="G8" i="3" s="1"/>
  <c r="E64" i="3"/>
  <c r="F64" i="3" s="1"/>
  <c r="G64" i="3" s="1"/>
  <c r="E70" i="3"/>
  <c r="F70" i="3" s="1"/>
  <c r="G70" i="3" s="1"/>
  <c r="E47" i="3"/>
  <c r="F47" i="3" s="1"/>
  <c r="G47" i="3" s="1"/>
  <c r="E27" i="3"/>
  <c r="F27" i="3" s="1"/>
  <c r="G27" i="3" s="1"/>
  <c r="E45" i="3"/>
  <c r="F45" i="3" s="1"/>
  <c r="G45" i="3" s="1"/>
  <c r="E35" i="3"/>
  <c r="F35" i="3" s="1"/>
  <c r="G35" i="3" s="1"/>
  <c r="E26" i="3"/>
  <c r="F26" i="3" s="1"/>
  <c r="G26" i="3" s="1"/>
  <c r="E12" i="3"/>
  <c r="F12" i="3" s="1"/>
  <c r="G12" i="3" s="1"/>
  <c r="E52" i="3"/>
  <c r="F52" i="3" s="1"/>
  <c r="G52" i="3" s="1"/>
  <c r="E59" i="3"/>
  <c r="E54" i="3"/>
  <c r="E6" i="3"/>
  <c r="E60" i="3"/>
  <c r="E69" i="3"/>
  <c r="E58" i="3"/>
  <c r="E48" i="3"/>
  <c r="F48" i="3" s="1"/>
  <c r="G48" i="3" s="1"/>
  <c r="E63" i="3"/>
  <c r="F63" i="3" s="1"/>
  <c r="G63" i="3" s="1"/>
  <c r="E16" i="3"/>
  <c r="F16" i="3" s="1"/>
  <c r="G16" i="3" s="1"/>
  <c r="E42" i="3"/>
  <c r="F42" i="3" s="1"/>
  <c r="G42" i="3" s="1"/>
  <c r="E28" i="3"/>
  <c r="F28" i="3" s="1"/>
  <c r="G28" i="3" s="1"/>
  <c r="E7" i="3"/>
  <c r="F7" i="3" s="1"/>
  <c r="G7" i="3" s="1"/>
  <c r="F68" i="3"/>
  <c r="G68" i="3" s="1"/>
  <c r="F15" i="3"/>
  <c r="G15" i="3" s="1"/>
  <c r="F37" i="3"/>
  <c r="G37" i="3" s="1"/>
  <c r="F53" i="3"/>
  <c r="G53" i="3" s="1"/>
  <c r="F9" i="3"/>
  <c r="G9" i="3" s="1"/>
  <c r="F32" i="3"/>
  <c r="G32" i="3" s="1"/>
  <c r="F34" i="3"/>
  <c r="G34" i="3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H33" i="2" s="1"/>
  <c r="I33" i="2" s="1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G2" i="2"/>
  <c r="H2" i="2" s="1"/>
  <c r="I2" i="2" s="1"/>
  <c r="G3" i="2"/>
  <c r="H3" i="2" s="1"/>
  <c r="I3" i="2" s="1"/>
  <c r="G4" i="2"/>
  <c r="H4" i="2" s="1"/>
  <c r="I4" i="2" s="1"/>
  <c r="G5" i="2"/>
  <c r="H5" i="2" s="1"/>
  <c r="I5" i="2" s="1"/>
  <c r="G6" i="2"/>
  <c r="H6" i="2" s="1"/>
  <c r="I6" i="2" s="1"/>
  <c r="G7" i="2"/>
  <c r="H7" i="2" s="1"/>
  <c r="I7" i="2" s="1"/>
  <c r="G8" i="2"/>
  <c r="H8" i="2" s="1"/>
  <c r="I8" i="2" s="1"/>
  <c r="G9" i="2"/>
  <c r="G10" i="2"/>
  <c r="H10" i="2" s="1"/>
  <c r="I10" i="2" s="1"/>
  <c r="G11" i="2"/>
  <c r="H11" i="2" s="1"/>
  <c r="I11" i="2" s="1"/>
  <c r="G12" i="2"/>
  <c r="G13" i="2"/>
  <c r="G14" i="2"/>
  <c r="G15" i="2"/>
  <c r="G16" i="2"/>
  <c r="G17" i="2"/>
  <c r="G18" i="2"/>
  <c r="G19" i="2"/>
  <c r="G20" i="2"/>
  <c r="G21" i="2"/>
  <c r="G22" i="2"/>
  <c r="H22" i="2" s="1"/>
  <c r="I22" i="2" s="1"/>
  <c r="G23" i="2"/>
  <c r="H23" i="2" s="1"/>
  <c r="I23" i="2" s="1"/>
  <c r="G24" i="2"/>
  <c r="H24" i="2" s="1"/>
  <c r="I24" i="2" s="1"/>
  <c r="G25" i="2"/>
  <c r="H25" i="2" s="1"/>
  <c r="I25" i="2" s="1"/>
  <c r="G26" i="2"/>
  <c r="H26" i="2" s="1"/>
  <c r="I26" i="2" s="1"/>
  <c r="G27" i="2"/>
  <c r="H27" i="2" s="1"/>
  <c r="I27" i="2" s="1"/>
  <c r="G28" i="2"/>
  <c r="H28" i="2" s="1"/>
  <c r="I28" i="2" s="1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H42" i="2" s="1"/>
  <c r="I42" i="2" s="1"/>
  <c r="G43" i="2"/>
  <c r="H43" i="2" s="1"/>
  <c r="I43" i="2" s="1"/>
  <c r="G44" i="2"/>
  <c r="H44" i="2" s="1"/>
  <c r="I44" i="2" s="1"/>
  <c r="G45" i="2"/>
  <c r="H45" i="2" s="1"/>
  <c r="I45" i="2" s="1"/>
  <c r="G46" i="2"/>
  <c r="H46" i="2" s="1"/>
  <c r="I46" i="2" s="1"/>
  <c r="G47" i="2"/>
  <c r="G48" i="2"/>
  <c r="H48" i="2" s="1"/>
  <c r="I48" i="2" s="1"/>
  <c r="G49" i="2"/>
  <c r="H49" i="2" s="1"/>
  <c r="I49" i="2" s="1"/>
  <c r="G50" i="2"/>
  <c r="H50" i="2" s="1"/>
  <c r="I50" i="2" s="1"/>
  <c r="G51" i="2"/>
  <c r="H51" i="2" s="1"/>
  <c r="I51" i="2" s="1"/>
  <c r="G52" i="2"/>
  <c r="G53" i="2"/>
  <c r="G54" i="2"/>
  <c r="G55" i="2"/>
  <c r="G56" i="2"/>
  <c r="G57" i="2"/>
  <c r="G58" i="2"/>
  <c r="G59" i="2"/>
  <c r="G60" i="2"/>
  <c r="G61" i="2"/>
  <c r="G62" i="2"/>
  <c r="H62" i="2" s="1"/>
  <c r="I62" i="2" s="1"/>
  <c r="G63" i="2"/>
  <c r="H63" i="2" s="1"/>
  <c r="I63" i="2" s="1"/>
  <c r="G64" i="2"/>
  <c r="H64" i="2" s="1"/>
  <c r="I64" i="2" s="1"/>
  <c r="G65" i="2"/>
  <c r="H65" i="2" s="1"/>
  <c r="I65" i="2" s="1"/>
  <c r="G66" i="2"/>
  <c r="H66" i="2" s="1"/>
  <c r="I66" i="2" s="1"/>
  <c r="G67" i="2"/>
  <c r="G68" i="2"/>
  <c r="H68" i="2" s="1"/>
  <c r="I68" i="2" s="1"/>
  <c r="G69" i="2"/>
  <c r="G70" i="2"/>
  <c r="H70" i="2" s="1"/>
  <c r="I70" i="2" s="1"/>
  <c r="G71" i="2"/>
  <c r="G72" i="2"/>
  <c r="G73" i="2"/>
  <c r="G74" i="2"/>
  <c r="G75" i="2"/>
  <c r="G76" i="2"/>
  <c r="G77" i="2"/>
  <c r="G78" i="2"/>
  <c r="G79" i="2"/>
  <c r="G80" i="2"/>
  <c r="G81" i="2"/>
  <c r="G82" i="2"/>
  <c r="H82" i="2" s="1"/>
  <c r="I82" i="2" s="1"/>
  <c r="G83" i="2"/>
  <c r="H83" i="2" s="1"/>
  <c r="I83" i="2" s="1"/>
  <c r="G84" i="2"/>
  <c r="H84" i="2" s="1"/>
  <c r="I84" i="2" s="1"/>
  <c r="G85" i="2"/>
  <c r="H85" i="2" s="1"/>
  <c r="I85" i="2" s="1"/>
  <c r="G86" i="2"/>
  <c r="H86" i="2" s="1"/>
  <c r="I86" i="2" s="1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H102" i="2" s="1"/>
  <c r="I102" i="2" s="1"/>
  <c r="G103" i="2"/>
  <c r="H103" i="2" s="1"/>
  <c r="I103" i="2" s="1"/>
  <c r="G104" i="2"/>
  <c r="H104" i="2" s="1"/>
  <c r="I104" i="2" s="1"/>
  <c r="G105" i="2"/>
  <c r="H105" i="2" s="1"/>
  <c r="I105" i="2" s="1"/>
  <c r="G106" i="2"/>
  <c r="H106" i="2" s="1"/>
  <c r="I106" i="2" s="1"/>
  <c r="G107" i="2"/>
  <c r="H107" i="2" s="1"/>
  <c r="I107" i="2" s="1"/>
  <c r="G108" i="2"/>
  <c r="H108" i="2" s="1"/>
  <c r="I108" i="2" s="1"/>
  <c r="G109" i="2"/>
  <c r="H109" i="2" s="1"/>
  <c r="I109" i="2" s="1"/>
  <c r="G110" i="2"/>
  <c r="H110" i="2" s="1"/>
  <c r="I110" i="2" s="1"/>
  <c r="G111" i="2"/>
  <c r="H111" i="2" s="1"/>
  <c r="I111" i="2" s="1"/>
  <c r="G112" i="2"/>
  <c r="G113" i="2"/>
  <c r="G114" i="2"/>
  <c r="G115" i="2"/>
  <c r="G116" i="2"/>
  <c r="G117" i="2"/>
  <c r="G118" i="2"/>
  <c r="G119" i="2"/>
  <c r="G120" i="2"/>
  <c r="G121" i="2"/>
  <c r="G122" i="2"/>
  <c r="H122" i="2" s="1"/>
  <c r="I122" i="2" s="1"/>
  <c r="G123" i="2"/>
  <c r="H123" i="2" s="1"/>
  <c r="I123" i="2" s="1"/>
  <c r="G124" i="2"/>
  <c r="H124" i="2" s="1"/>
  <c r="I124" i="2" s="1"/>
  <c r="G125" i="2"/>
  <c r="H125" i="2" s="1"/>
  <c r="I125" i="2" s="1"/>
  <c r="G126" i="2"/>
  <c r="H126" i="2" s="1"/>
  <c r="I126" i="2" s="1"/>
  <c r="G127" i="2"/>
  <c r="H127" i="2" s="1"/>
  <c r="I127" i="2" s="1"/>
  <c r="G128" i="2"/>
  <c r="H128" i="2" s="1"/>
  <c r="I128" i="2" s="1"/>
  <c r="G129" i="2"/>
  <c r="H129" i="2" s="1"/>
  <c r="I129" i="2" s="1"/>
  <c r="G130" i="2"/>
  <c r="H130" i="2" s="1"/>
  <c r="I130" i="2" s="1"/>
  <c r="G131" i="2"/>
  <c r="H131" i="2" s="1"/>
  <c r="I131" i="2" s="1"/>
  <c r="G132" i="2"/>
  <c r="G133" i="2"/>
  <c r="G134" i="2"/>
  <c r="G135" i="2"/>
  <c r="G136" i="2"/>
  <c r="H9" i="2"/>
  <c r="I9" i="2" s="1"/>
  <c r="F1" i="3"/>
  <c r="C1" i="3"/>
  <c r="B16" i="6"/>
  <c r="B15" i="6"/>
  <c r="E1" i="4"/>
  <c r="B1" i="4"/>
  <c r="A2" i="1" a="1"/>
  <c r="A2" i="1" s="1"/>
  <c r="H1" i="4"/>
  <c r="H56" i="2" l="1"/>
  <c r="I56" i="2" s="1"/>
  <c r="H94" i="2"/>
  <c r="I94" i="2" s="1"/>
  <c r="H114" i="2"/>
  <c r="I114" i="2" s="1"/>
  <c r="H74" i="2"/>
  <c r="I74" i="2" s="1"/>
  <c r="H34" i="2"/>
  <c r="I34" i="2" s="1"/>
  <c r="H54" i="2"/>
  <c r="I54" i="2" s="1"/>
  <c r="H36" i="2"/>
  <c r="I36" i="2" s="1"/>
  <c r="F66" i="3"/>
  <c r="G66" i="3" s="1"/>
  <c r="H53" i="2"/>
  <c r="I53" i="2" s="1"/>
  <c r="H133" i="2"/>
  <c r="I133" i="2" s="1"/>
  <c r="H76" i="2"/>
  <c r="I76" i="2" s="1"/>
  <c r="H75" i="2"/>
  <c r="I75" i="2" s="1"/>
  <c r="H35" i="2"/>
  <c r="I35" i="2" s="1"/>
  <c r="H73" i="2"/>
  <c r="I73" i="2" s="1"/>
  <c r="H13" i="2"/>
  <c r="I13" i="2" s="1"/>
  <c r="F58" i="3"/>
  <c r="G58" i="3" s="1"/>
  <c r="F62" i="3"/>
  <c r="G62" i="3" s="1"/>
  <c r="F49" i="3"/>
  <c r="G49" i="3" s="1"/>
  <c r="F20" i="3"/>
  <c r="G20" i="3" s="1"/>
  <c r="H136" i="2"/>
  <c r="I136" i="2" s="1"/>
  <c r="H96" i="2"/>
  <c r="I96" i="2" s="1"/>
  <c r="H16" i="2"/>
  <c r="I16" i="2" s="1"/>
  <c r="H135" i="2"/>
  <c r="I135" i="2" s="1"/>
  <c r="H15" i="2"/>
  <c r="I15" i="2" s="1"/>
  <c r="H134" i="2"/>
  <c r="I134" i="2" s="1"/>
  <c r="H14" i="2"/>
  <c r="I14" i="2" s="1"/>
  <c r="H113" i="2"/>
  <c r="I113" i="2" s="1"/>
  <c r="H116" i="2"/>
  <c r="I116" i="2" s="1"/>
  <c r="H115" i="2"/>
  <c r="I115" i="2" s="1"/>
  <c r="H71" i="2"/>
  <c r="I71" i="2" s="1"/>
  <c r="H93" i="2"/>
  <c r="I93" i="2" s="1"/>
  <c r="H90" i="2"/>
  <c r="I90" i="2" s="1"/>
  <c r="H89" i="2"/>
  <c r="I89" i="2" s="1"/>
  <c r="H29" i="2"/>
  <c r="I29" i="2" s="1"/>
  <c r="H87" i="2"/>
  <c r="I87" i="2" s="1"/>
  <c r="H67" i="2"/>
  <c r="I67" i="2" s="1"/>
  <c r="H47" i="2"/>
  <c r="I47" i="2" s="1"/>
  <c r="H69" i="2"/>
  <c r="I69" i="2" s="1"/>
  <c r="F60" i="3"/>
  <c r="G60" i="3" s="1"/>
  <c r="F56" i="3"/>
  <c r="G56" i="3" s="1"/>
  <c r="F21" i="3"/>
  <c r="G21" i="3" s="1"/>
  <c r="F6" i="3"/>
  <c r="G6" i="3" s="1"/>
  <c r="F19" i="3"/>
  <c r="G19" i="3" s="1"/>
  <c r="F43" i="3"/>
  <c r="G43" i="3" s="1"/>
  <c r="F54" i="3"/>
  <c r="G54" i="3" s="1"/>
  <c r="F5" i="3"/>
  <c r="G5" i="3" s="1"/>
  <c r="F24" i="3"/>
  <c r="G24" i="3" s="1"/>
  <c r="H91" i="2"/>
  <c r="I91" i="2" s="1"/>
  <c r="H30" i="2"/>
  <c r="I30" i="2" s="1"/>
  <c r="H40" i="2"/>
  <c r="I40" i="2" s="1"/>
  <c r="H88" i="2"/>
  <c r="I88" i="2" s="1"/>
  <c r="H20" i="2"/>
  <c r="I20" i="2" s="1"/>
  <c r="H31" i="2"/>
  <c r="I31" i="2" s="1"/>
  <c r="H21" i="2"/>
  <c r="I21" i="2" s="1"/>
  <c r="H80" i="2"/>
  <c r="I80" i="2" s="1"/>
  <c r="H119" i="2"/>
  <c r="I119" i="2" s="1"/>
  <c r="H19" i="2"/>
  <c r="I19" i="2" s="1"/>
  <c r="H55" i="2"/>
  <c r="I55" i="2" s="1"/>
  <c r="H121" i="2"/>
  <c r="I121" i="2" s="1"/>
  <c r="H59" i="2"/>
  <c r="I59" i="2" s="1"/>
  <c r="H118" i="2"/>
  <c r="I118" i="2" s="1"/>
  <c r="H78" i="2"/>
  <c r="I78" i="2" s="1"/>
  <c r="H38" i="2"/>
  <c r="I38" i="2" s="1"/>
  <c r="H18" i="2"/>
  <c r="I18" i="2" s="1"/>
  <c r="H97" i="2"/>
  <c r="I97" i="2" s="1"/>
  <c r="H57" i="2"/>
  <c r="I57" i="2" s="1"/>
  <c r="H17" i="2"/>
  <c r="I17" i="2" s="1"/>
  <c r="H41" i="2"/>
  <c r="I41" i="2" s="1"/>
  <c r="H39" i="2"/>
  <c r="I39" i="2" s="1"/>
  <c r="H81" i="2"/>
  <c r="I81" i="2" s="1"/>
  <c r="H120" i="2"/>
  <c r="I120" i="2" s="1"/>
  <c r="H100" i="2"/>
  <c r="I100" i="2" s="1"/>
  <c r="H60" i="2"/>
  <c r="I60" i="2" s="1"/>
  <c r="H99" i="2"/>
  <c r="I99" i="2" s="1"/>
  <c r="H58" i="2"/>
  <c r="I58" i="2" s="1"/>
  <c r="H117" i="2"/>
  <c r="I117" i="2" s="1"/>
  <c r="H95" i="2"/>
  <c r="I95" i="2" s="1"/>
  <c r="H101" i="2"/>
  <c r="I101" i="2" s="1"/>
  <c r="H77" i="2"/>
  <c r="I77" i="2" s="1"/>
  <c r="H37" i="2"/>
  <c r="I37" i="2" s="1"/>
  <c r="H112" i="2"/>
  <c r="I112" i="2" s="1"/>
  <c r="H72" i="2"/>
  <c r="I72" i="2" s="1"/>
  <c r="H32" i="2"/>
  <c r="I32" i="2" s="1"/>
  <c r="H61" i="2"/>
  <c r="I61" i="2" s="1"/>
  <c r="H79" i="2"/>
  <c r="I79" i="2" s="1"/>
  <c r="H98" i="2"/>
  <c r="I98" i="2" s="1"/>
  <c r="H132" i="2"/>
  <c r="I132" i="2" s="1"/>
  <c r="H92" i="2"/>
  <c r="I92" i="2" s="1"/>
  <c r="H52" i="2"/>
  <c r="I52" i="2" s="1"/>
  <c r="H12" i="2"/>
  <c r="I12" i="2" s="1"/>
  <c r="F2" i="3"/>
  <c r="H43" i="3" l="1"/>
  <c r="H19" i="3"/>
  <c r="H6" i="3"/>
  <c r="H21" i="3"/>
  <c r="H56" i="3"/>
  <c r="H31" i="3"/>
  <c r="H20" i="3"/>
  <c r="H69" i="3"/>
  <c r="H49" i="3"/>
  <c r="H62" i="3"/>
  <c r="H58" i="3"/>
  <c r="H36" i="3"/>
  <c r="H48" i="3"/>
  <c r="H63" i="3"/>
  <c r="H44" i="3"/>
  <c r="H35" i="3"/>
  <c r="H26" i="3"/>
  <c r="H52" i="3"/>
  <c r="H60" i="3"/>
  <c r="H55" i="3"/>
  <c r="H15" i="3"/>
  <c r="H16" i="3"/>
  <c r="H27" i="3"/>
  <c r="H45" i="3"/>
  <c r="H13" i="3"/>
  <c r="H29" i="3"/>
  <c r="H41" i="3"/>
  <c r="H51" i="3"/>
  <c r="H10" i="3"/>
  <c r="H14" i="3"/>
  <c r="H46" i="3"/>
  <c r="H23" i="3"/>
  <c r="H68" i="3"/>
  <c r="H22" i="3"/>
  <c r="H18" i="3"/>
  <c r="H47" i="3"/>
  <c r="H61" i="3"/>
  <c r="H67" i="3"/>
  <c r="H17" i="3"/>
  <c r="H5" i="3"/>
  <c r="H66" i="3"/>
  <c r="H38" i="3"/>
  <c r="H40" i="3"/>
  <c r="H59" i="3"/>
  <c r="H37" i="3"/>
  <c r="H50" i="3"/>
  <c r="H65" i="3"/>
  <c r="H42" i="3"/>
  <c r="H53" i="3"/>
  <c r="H11" i="3"/>
  <c r="H8" i="3"/>
  <c r="H28" i="3"/>
  <c r="H9" i="3"/>
  <c r="H30" i="3"/>
  <c r="H64" i="3"/>
  <c r="H7" i="3"/>
  <c r="H32" i="3"/>
  <c r="H57" i="3"/>
  <c r="H70" i="3"/>
  <c r="H34" i="3"/>
  <c r="H25" i="3"/>
  <c r="H39" i="3"/>
  <c r="H12" i="3"/>
  <c r="H33" i="3"/>
  <c r="H24" i="3"/>
  <c r="H54" i="3"/>
  <c r="K1" i="3"/>
  <c r="B4" i="6"/>
  <c r="B2" i="6"/>
  <c r="C2" i="6" s="1"/>
  <c r="B11" i="6"/>
  <c r="B14" i="6"/>
  <c r="B10" i="6"/>
  <c r="B8" i="6"/>
  <c r="B3" i="6"/>
  <c r="B5" i="6"/>
  <c r="B13" i="6"/>
  <c r="B6" i="6"/>
  <c r="B7" i="6"/>
  <c r="B12" i="6"/>
  <c r="B9" i="6"/>
  <c r="K2" i="3" l="1"/>
  <c r="C3" i="6"/>
  <c r="C4" i="6"/>
  <c r="C15" i="6"/>
  <c r="C16" i="6"/>
  <c r="C6" i="6"/>
  <c r="C13" i="6"/>
  <c r="C7" i="6"/>
  <c r="C5" i="6"/>
  <c r="C8" i="6"/>
  <c r="C10" i="6"/>
  <c r="C12" i="6"/>
  <c r="C11" i="6"/>
  <c r="B17" i="6"/>
  <c r="C9" i="6"/>
  <c r="C14" i="6"/>
  <c r="M1" i="3"/>
  <c r="M2" i="3" s="1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0E1EE-6397-4BD2-9394-7938C7BBA37F}" keepAlive="1" name="Query - undervalued_stocks" description="Connection to the 'undervalued_stocks' query in the workbook." type="5" refreshedVersion="8" background="1" saveData="1">
    <dbPr connection="Provider=Microsoft.Mashup.OleDb.1;Data Source=$Workbook$;Location=undervalued_stocks;Extended Properties=&quot;&quot;" command="SELECT * FROM [undervalued_stocks]"/>
  </connection>
  <connection id="2" xr16:uid="{98455E7A-BB45-4CFC-BB99-21AFACCFD339}" keepAlive="1" name="Query - undervalued_stocks (2)(1)" description="Connection to the 'undervalued_stocks (2)' query in the workbook." type="5" refreshedVersion="0" background="1">
    <dbPr connection="Provider=Microsoft.Mashup.OleDb.1;Data Source=$Workbook$;Location=&quot;undervalued_stocks (2)&quot;;Extended Properties=&quot;&quot;" command="SELECT * FROM [undervalued_stocks (2)]"/>
  </connection>
  <connection id="3" xr16:uid="{065A56C2-AA45-49DA-8575-3A949D4C49B4}" keepAlive="1" name="Query - undervalued_trades" description="Connection to the 'undervalued_trades' query in the workbook." type="5" refreshedVersion="8" background="1" saveData="1">
    <dbPr connection="Provider=Microsoft.Mashup.OleDb.1;Data Source=$Workbook$;Location=undervalued_trades;Extended Properties=&quot;&quot;" command="SELECT * FROM [undervalued_trades]"/>
  </connection>
  <connection id="4" xr16:uid="{0A4FB849-2C72-400D-84A9-AAEBA9046401}" keepAlive="1" name="Query - value weight chart" description="Connection to the 'value weight chart' query in the workbook." type="5" refreshedVersion="8" background="1" saveData="1">
    <dbPr connection="Provider=Microsoft.Mashup.OleDb.1;Data Source=$Workbook$;Location=&quot;value weight chart&quot;;Extended Properties=&quot;&quot;" command="SELECT * FROM [value weight chart]"/>
  </connection>
  <connection id="5" xr16:uid="{B50AFCC1-7B91-41B6-8C01-8D48F564B0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25C9097-3909-4184-A2E7-102D7A681D46}" name="WorksheetConnection_Report.xlsx!undervalued_trades" type="102" refreshedVersion="8" minRefreshableVersion="5">
    <extLst>
      <ext xmlns:x15="http://schemas.microsoft.com/office/spreadsheetml/2010/11/main" uri="{DE250136-89BD-433C-8126-D09CA5730AF9}">
        <x15:connection id="undervalued_trades" autoDelete="1">
          <x15:rangePr sourceName="_xlcn.WorksheetConnection_Report.xlsxundervalued_trad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<sst xmlns="http://schemas.openxmlformats.org/spreadsheetml/2006/main" count="447" uniqueCount="106">
  <si>
    <t>Path</t>
  </si>
  <si>
    <t>Exec Time</t>
  </si>
  <si>
    <t>Symbol</t>
  </si>
  <si>
    <t>Qty</t>
  </si>
  <si>
    <t>Price</t>
  </si>
  <si>
    <t>YRD</t>
  </si>
  <si>
    <t>XYF</t>
  </si>
  <si>
    <t>CCRN</t>
  </si>
  <si>
    <t>LX</t>
  </si>
  <si>
    <t>SITC</t>
  </si>
  <si>
    <t>AMTD</t>
  </si>
  <si>
    <t>GSL</t>
  </si>
  <si>
    <t>HG</t>
  </si>
  <si>
    <t>PDS</t>
  </si>
  <si>
    <t>MOMO</t>
  </si>
  <si>
    <t>BTU</t>
  </si>
  <si>
    <t>YALA</t>
  </si>
  <si>
    <t>CHRD</t>
  </si>
  <si>
    <t>HAFN</t>
  </si>
  <si>
    <t>DDI</t>
  </si>
  <si>
    <t>ON</t>
  </si>
  <si>
    <t>CRUS</t>
  </si>
  <si>
    <t>GMAB</t>
  </si>
  <si>
    <t>RWAY</t>
  </si>
  <si>
    <t>KOF</t>
  </si>
  <si>
    <t>CTSH</t>
  </si>
  <si>
    <t>CIVI</t>
  </si>
  <si>
    <t>SCVL</t>
  </si>
  <si>
    <t>ATKR</t>
  </si>
  <si>
    <t>GIII</t>
  </si>
  <si>
    <t>TGNA</t>
  </si>
  <si>
    <t>DOX</t>
  </si>
  <si>
    <t>OVV</t>
  </si>
  <si>
    <t>TTE</t>
  </si>
  <si>
    <t>CVE</t>
  </si>
  <si>
    <t>GIB</t>
  </si>
  <si>
    <t>NMIH</t>
  </si>
  <si>
    <t>SFD</t>
  </si>
  <si>
    <t>ASO</t>
  </si>
  <si>
    <t>ABEV</t>
  </si>
  <si>
    <t>CNR</t>
  </si>
  <si>
    <t>SU</t>
  </si>
  <si>
    <t>COP</t>
  </si>
  <si>
    <t>VCTR</t>
  </si>
  <si>
    <t>STNG</t>
  </si>
  <si>
    <t>MAT</t>
  </si>
  <si>
    <t>BYD</t>
  </si>
  <si>
    <t>WIT</t>
  </si>
  <si>
    <t>AEO</t>
  </si>
  <si>
    <t>VIPS</t>
  </si>
  <si>
    <t>ZM</t>
  </si>
  <si>
    <t>PHM</t>
  </si>
  <si>
    <t>FINV</t>
  </si>
  <si>
    <t>PDD</t>
  </si>
  <si>
    <t>HNI</t>
  </si>
  <si>
    <t>FHI</t>
  </si>
  <si>
    <t>AZN</t>
  </si>
  <si>
    <t>SGU</t>
  </si>
  <si>
    <t>TMHC</t>
  </si>
  <si>
    <t>SQM</t>
  </si>
  <si>
    <t>ACLS</t>
  </si>
  <si>
    <t>TPVG</t>
  </si>
  <si>
    <t>YUMC</t>
  </si>
  <si>
    <t>TGT</t>
  </si>
  <si>
    <t>RAL</t>
  </si>
  <si>
    <t>VICI</t>
  </si>
  <si>
    <t>CHA</t>
  </si>
  <si>
    <t>NXT</t>
  </si>
  <si>
    <t>G</t>
  </si>
  <si>
    <t>ACN</t>
  </si>
  <si>
    <t>Total Investment</t>
  </si>
  <si>
    <t>Avg Price</t>
  </si>
  <si>
    <t>Row Labels</t>
  </si>
  <si>
    <t>Current Price</t>
  </si>
  <si>
    <t>Open P&amp;L</t>
  </si>
  <si>
    <t>Realized  P&amp;L</t>
  </si>
  <si>
    <t>Month</t>
  </si>
  <si>
    <t>Gross P&amp;L</t>
  </si>
  <si>
    <t>Total</t>
  </si>
  <si>
    <t>Total Open P&amp;L</t>
  </si>
  <si>
    <t>Total Realized P&amp;L</t>
  </si>
  <si>
    <t>Open ROI</t>
  </si>
  <si>
    <t>Realized ROI</t>
  </si>
  <si>
    <t>Cumulative P&amp;L</t>
  </si>
  <si>
    <t>Cost &amp; Gain</t>
  </si>
  <si>
    <t>Total Qty</t>
  </si>
  <si>
    <t>Total C&amp;G</t>
  </si>
  <si>
    <t>Realized P&amp;L</t>
  </si>
  <si>
    <t>Number of stocks traded</t>
  </si>
  <si>
    <t>Number of stocks held</t>
  </si>
  <si>
    <t>Weight</t>
  </si>
  <si>
    <t>Portfolio's Value</t>
  </si>
  <si>
    <t>Label</t>
  </si>
  <si>
    <t/>
  </si>
  <si>
    <t>Winning</t>
  </si>
  <si>
    <t>Losing</t>
  </si>
  <si>
    <t>Stock Count</t>
  </si>
  <si>
    <t>Trade Count</t>
  </si>
  <si>
    <t>2025</t>
  </si>
  <si>
    <t>2024</t>
  </si>
  <si>
    <t>Grand Total</t>
  </si>
  <si>
    <t>Max Price</t>
  </si>
  <si>
    <t>Average Price</t>
  </si>
  <si>
    <t>Realized  PL</t>
  </si>
  <si>
    <t>Total Cost &amp; Gain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</si>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</sst>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-yyyy"/>
    <numFmt numFmtId="165" formatCode="&quot;$&quot;\ #,##0.00"/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2" fontId="0" fillId="0" borderId="4" xfId="0" applyNumberFormat="1" applyBorder="1"/>
    <xf numFmtId="2" fontId="0" fillId="0" borderId="5" xfId="0" applyNumberFormat="1" applyBorder="1" applyAlignment="1">
      <alignment horizontal="center"/>
    </xf>
    <xf numFmtId="10" fontId="0" fillId="0" borderId="3" xfId="2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43" fontId="0" fillId="0" borderId="5" xfId="1" applyNumberFormat="1" applyFont="1" applyBorder="1" applyAlignment="1">
      <alignment horizontal="center"/>
    </xf>
    <xf numFmtId="9" fontId="0" fillId="0" borderId="0" xfId="2" applyFont="1"/>
    <xf numFmtId="43" fontId="0" fillId="0" borderId="5" xfId="3" applyFont="1" applyBorder="1"/>
    <xf numFmtId="43" fontId="0" fillId="0" borderId="0" xfId="0" applyNumberForma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pivotButton="1"/>
    <xf numFmtId="165" fontId="0" fillId="0" borderId="5" xfId="0" applyNumberFormat="1" applyBorder="1"/>
    <xf numFmtId="4" fontId="0" fillId="0" borderId="0" xfId="0" applyNumberFormat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NumberFormat="1"/>
    <xf numFmtId="0" fontId="0" fillId="0" borderId="1" xfId="0" applyNumberForma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m/d/yyyy\ h:m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-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4" formatCode="#,##0.00"/>
    </dxf>
    <dxf>
      <numFmt numFmtId="2" formatCode="0.0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>
        <v>2.6949999999999998</v>
        <stp/>
        <stp>LAST</stp>
        <stp>WIT</stp>
        <tr r="G122" s="2"/>
        <tr r="E65" s="3"/>
        <tr r="G121" s="2"/>
        <tr r="G123" s="2"/>
      </tp>
      <tp>
        <v>64.465000000000003</v>
        <stp/>
        <stp>LAST</stp>
        <stp>TTE</stp>
        <tr r="E61" s="3"/>
        <tr r="G114" s="2"/>
      </tp>
      <tp>
        <v>85.83</v>
        <stp/>
        <stp>LAST</stp>
        <stp>TGT</stp>
        <tr r="E58" s="3"/>
        <tr r="G108" s="2"/>
      </tp>
      <tp>
        <v>46.765000000000001</v>
        <stp/>
        <stp>LAST</stp>
        <stp>RAL</stp>
        <tr r="E48" s="3"/>
        <tr r="G86" s="2"/>
      </tp>
      <tp>
        <v>58.56</v>
        <stp/>
        <stp>LAST</stp>
        <stp>SQM</stp>
        <tr r="G97" s="2"/>
        <tr r="E54" s="3"/>
      </tp>
      <tp>
        <v>21.41</v>
        <stp/>
        <stp>LAST</stp>
        <stp>SFD</stp>
        <tr r="G94" s="2"/>
        <tr r="E51" s="3"/>
      </tp>
      <tp>
        <v>12.15</v>
        <stp/>
        <stp>LAST</stp>
        <stp>SGU</stp>
        <tr r="E52" s="3"/>
        <tr r="G95" s="2"/>
      </tp>
      <tp>
        <v>119.6</v>
        <stp/>
        <stp>LAST</stp>
        <stp>PHM</stp>
        <tr r="G84" s="2"/>
        <tr r="E47" s="3"/>
        <tr r="G85" s="2"/>
      </tp>
      <tp>
        <v>58.45</v>
        <stp/>
        <stp>LAST</stp>
        <stp>PDS</stp>
        <tr r="G83" s="2"/>
        <tr r="G82" s="2"/>
        <tr r="E46" s="3"/>
      </tp>
      <tp>
        <v>113.64</v>
        <stp/>
        <stp>LAST</stp>
        <stp>PDD</stp>
        <tr r="G80" s="2"/>
        <tr r="G81" s="2"/>
        <tr r="E45" s="3"/>
      </tp>
      <tp>
        <v>7.2549999999999999</v>
        <stp/>
        <stp>LAST</stp>
        <stp>XYF</stp>
        <tr r="G126" s="2"/>
        <tr r="G127" s="2"/>
        <tr r="G124" s="2"/>
        <tr r="E66" s="3"/>
        <tr r="G125" s="2"/>
        <tr r="G128" s="2"/>
      </tp>
      <tp>
        <v>4.59</v>
        <stp/>
        <stp>LAST</stp>
        <stp>YRD</stp>
        <tr r="E68" s="3"/>
        <tr r="G131" s="2"/>
        <tr r="G130" s="2"/>
      </tp>
      <tp>
        <v>48.87</v>
        <stp/>
        <stp>LAST</stp>
        <stp>FHI</stp>
        <tr r="E26" s="3"/>
        <tr r="G36" s="2"/>
      </tp>
      <tp>
        <v>34.159999999999997</v>
        <stp/>
        <stp>LAST</stp>
        <stp>GSL</stp>
        <tr r="E32" s="3"/>
        <tr r="G51" s="2"/>
        <tr r="G52" s="2"/>
      </tp>
      <tp>
        <v>88.36</v>
        <stp/>
        <stp>LAST</stp>
        <stp>GIB</stp>
        <tr r="G42" s="2"/>
        <tr r="G41" s="2"/>
        <tr r="E29" s="3"/>
        <tr r="G43" s="2"/>
        <tr r="G40" s="2"/>
      </tp>
      <tp>
        <v>75.8</v>
        <stp/>
        <stp>LAST</stp>
        <stp>DOX</stp>
        <tr r="G35" s="2"/>
        <tr r="G34" s="2"/>
        <tr r="E25" s="3"/>
      </tp>
      <tp>
        <v>9.14</v>
        <stp/>
        <stp>LAST</stp>
        <stp>DDI</stp>
        <tr r="G33" s="2"/>
        <tr r="E24" s="3"/>
      </tp>
      <tp>
        <v>81.5</v>
        <stp/>
        <stp>LAST</stp>
        <stp>BYD</stp>
        <tr r="G17" s="2"/>
        <tr r="E14" s="3"/>
      </tp>
      <tp>
        <v>25.934999999999999</v>
        <stp/>
        <stp>LAST</stp>
        <stp>BTU</stp>
        <tr r="E13" s="3"/>
        <tr r="G16" s="2"/>
        <tr r="G15" s="2"/>
      </tp>
      <tp>
        <v>17.899999999999999</v>
        <stp/>
        <stp>LAST</stp>
        <stp>CVE</stp>
        <tr r="E23" s="3"/>
        <tr r="G32" s="2"/>
      </tp>
      <tp>
        <v>13.38</v>
        <stp/>
        <stp>LAST</stp>
        <stp>CHA</stp>
        <tr r="G20" s="2"/>
        <tr r="E16" s="3"/>
      </tp>
      <tp>
        <v>76.5</v>
        <stp/>
        <stp>LAST</stp>
        <stp>CNR</stp>
        <tr r="G24" s="2"/>
        <tr r="E19" s="3"/>
      </tp>
      <tp>
        <v>87.42</v>
        <stp/>
        <stp>LAST</stp>
        <stp>COP</stp>
        <tr r="E20" s="3"/>
        <tr r="G25" s="2"/>
      </tp>
      <tp>
        <v>91.557000000000002</v>
        <stp/>
        <stp>LAST</stp>
        <stp>AZN</stp>
        <tr r="E12" s="3"/>
        <tr r="G14" s="2"/>
      </tp>
      <tp>
        <v>45.034999999999997</v>
        <stp/>
        <stp>LAST</stp>
        <stp>ASO</stp>
        <tr r="G10" s="2"/>
        <tr r="E10" s="3"/>
      </tp>
      <tp>
        <v>248.18</v>
        <stp/>
        <stp>LAST</stp>
        <stp>ACN</stp>
        <tr r="G7" s="2"/>
        <tr r="E7" s="3"/>
      </tp>
      <tp>
        <v>19.07</v>
        <stp/>
        <stp>LAST</stp>
        <stp>AEO</stp>
        <tr r="E8" s="3"/>
        <tr r="G8" s="2"/>
      </tp>
      <tp>
        <v>87.305000000000007</v>
        <stp/>
        <stp>LAST</stp>
        <stp>NXT</stp>
        <tr r="G75" s="2"/>
        <tr r="E42" s="3"/>
      </tp>
      <tp>
        <v>39.56</v>
        <stp/>
        <stp>LAST</stp>
        <stp>OVV</stp>
        <tr r="E44" s="3"/>
        <tr r="G79" s="2"/>
        <tr r="G78" s="2"/>
      </tp>
      <tp>
        <v>20.254999999999999</v>
        <stp/>
        <stp>LAST</stp>
        <stp>MAT</stp>
        <tr r="G65" s="2"/>
        <tr r="E38" s="3"/>
      </tp>
      <tp>
        <v>87.2</v>
        <stp/>
        <stp>LAST</stp>
        <stp>KOF</stp>
        <tr r="G63" s="2"/>
        <tr r="E36" s="3"/>
      </tp>
      <tp>
        <v>40.56</v>
        <stp/>
        <stp>LAST</stp>
        <stp>HNI</stp>
        <tr r="G62" s="2"/>
        <tr r="E35" s="3"/>
      </tp>
      <tp>
        <v>117.88500000000001</v>
        <stp/>
        <stp>LAST</stp>
        <stp>CRUS</stp>
        <tr r="G26" s="2"/>
        <tr r="E21" s="3"/>
      </tp>
      <tp>
        <v>474.79500000000002</v>
        <stp/>
        <stp>LAST</stp>
        <stp>MSFT</stp>
        <tr r="G72" s="2"/>
        <tr r="G71" s="2"/>
        <tr r="E40" s="3"/>
      </tp>
      <tp>
        <v>6.32</v>
        <stp/>
        <stp>LAST</stp>
        <stp>TPVG</stp>
        <tr r="G113" s="2"/>
        <tr r="G112" s="2"/>
        <tr r="E60" s="3"/>
      </tp>
      <tp>
        <v>8.67</v>
        <stp/>
        <stp>LAST</stp>
        <stp>RWAY</stp>
        <tr r="G87" s="2"/>
        <tr r="E49" s="3"/>
        <tr r="G90" s="2"/>
        <tr r="G89" s="2"/>
        <tr r="G88" s="2"/>
      </tp>
      <tp>
        <v>75.7</v>
        <stp/>
        <stp>LAST</stp>
        <stp>CTSH</stp>
        <tr r="G27" s="2"/>
        <tr r="E22" s="3"/>
        <tr r="G31" s="2"/>
        <tr r="G30" s="2"/>
        <tr r="G29" s="2"/>
        <tr r="G28" s="2"/>
      </tp>
      <tp>
        <v>60.26</v>
        <stp/>
        <stp>LAST</stp>
        <stp>STNG</stp>
        <tr r="E55" s="3"/>
        <tr r="G98" s="2"/>
      </tp>
      <tp>
        <v>62.62</v>
        <stp/>
        <stp>LAST</stp>
        <stp>ATKR</stp>
        <tr r="E11" s="3"/>
        <tr r="G13" s="2"/>
        <tr r="G12" s="2"/>
        <tr r="G11" s="2"/>
      </tp>
      <tp>
        <v>47.95</v>
        <stp/>
        <stp>LAST</stp>
        <stp>YUMC</stp>
        <tr r="G133" s="2"/>
        <tr r="G132" s="2"/>
        <tr r="E69" s="3"/>
      </tp>
      <tp>
        <v>93.19</v>
        <stp/>
        <stp>LAST</stp>
        <stp>CHRD</stp>
        <tr r="E17" s="3"/>
        <tr r="G22" s="2"/>
        <tr r="G21" s="2"/>
      </tp>
      <tp>
        <v>27.844999999999999</v>
        <stp/>
        <stp>LAST</stp>
        <stp>CIVI</stp>
        <tr r="G23" s="2"/>
        <tr r="E18" s="3"/>
      </tp>
      <tp>
        <v>7.19</v>
        <stp/>
        <stp>LAST</stp>
        <stp>SITC</stp>
        <tr r="E53" s="3"/>
        <tr r="G96" s="2"/>
      </tp>
      <tp>
        <v>18.707100000000001</v>
        <stp/>
        <stp>LAST</stp>
        <stp>VIPS</stp>
        <tr r="G120" s="2"/>
        <tr r="G119" s="2"/>
        <tr r="E64" s="3"/>
        <tr r="G118" s="2"/>
      </tp>
      <tp>
        <v>28.76</v>
        <stp/>
        <stp>LAST</stp>
        <stp>VICI</stp>
        <tr r="E63" s="3"/>
        <tr r="G117" s="2"/>
        <tr r="G116" s="2"/>
      </tp>
      <tp>
        <v>4.92</v>
        <stp/>
        <stp>LAST</stp>
        <stp>FINV</stp>
        <tr r="E27" s="3"/>
        <tr r="G38" s="2"/>
        <tr r="G37" s="2"/>
      </tp>
      <tp>
        <v>28.54</v>
        <stp/>
        <stp>LAST</stp>
        <stp>GIII</stp>
        <tr r="G46" s="2"/>
        <tr r="G45" s="2"/>
        <tr r="E30" s="3"/>
        <tr r="G47" s="2"/>
        <tr r="G44" s="2"/>
        <tr r="G48" s="2"/>
      </tp>
      <tp>
        <v>7.0149999999999997</v>
        <stp/>
        <stp>LAST</stp>
        <stp>MOMO</stp>
        <tr r="G66" s="2"/>
        <tr r="E39" s="3"/>
        <tr r="G67" s="2"/>
        <tr r="G70" s="2"/>
        <tr r="G69" s="2"/>
        <tr r="G68" s="2"/>
      </tp>
      <tp>
        <v>0.96868299999999996</v>
        <stp/>
        <stp>LAST</stp>
        <stp>AMTD</stp>
        <tr r="E9" s="3"/>
        <tr r="G9" s="2"/>
      </tp>
      <tp>
        <v>30.765000000000001</v>
        <stp/>
        <stp>LAST</stp>
        <stp>GMAB</stp>
        <tr r="E31" s="3"/>
        <tr r="G50" s="2"/>
        <tr r="G49" s="2"/>
      </tp>
      <tp>
        <v>60.36</v>
        <stp/>
        <stp>LAST</stp>
        <stp>TMHC</stp>
        <tr r="G111" s="2"/>
        <tr r="G110" s="2"/>
        <tr r="G109" s="2"/>
        <tr r="E59" s="3"/>
      </tp>
      <tp>
        <v>38</v>
        <stp/>
        <stp>LAST</stp>
        <stp>NMIH</stp>
        <tr r="E41" s="3"/>
        <tr r="G74" s="2"/>
        <tr r="G73" s="2"/>
      </tp>
      <tp>
        <v>2.5099999999999998</v>
        <stp/>
        <stp>LAST</stp>
        <stp>ABEV</stp>
        <tr r="G4" s="2"/>
        <tr r="G2" s="2"/>
        <tr r="G3" s="2"/>
        <tr r="E5" s="3"/>
        <tr r="G5" s="2"/>
      </tp>
      <tp>
        <v>16.045000000000002</v>
        <stp/>
        <stp>LAST</stp>
        <stp>SCVL</stp>
        <tr r="G93" s="2"/>
        <tr r="E50" s="3"/>
        <tr r="G92" s="2"/>
        <tr r="G91" s="2"/>
      </tp>
      <tp>
        <v>62.24</v>
        <stp/>
        <stp>LAST</stp>
        <stp>VCTR</stp>
        <tr r="G115" s="2"/>
        <tr r="E62" s="3"/>
      </tp>
      <tp>
        <v>11.13</v>
        <stp/>
        <stp>LAST</stp>
        <stp>CCRN</stp>
        <tr r="G19" s="2"/>
        <tr r="G18" s="2"/>
        <tr r="E15" s="3"/>
      </tp>
      <tp>
        <v>78.77</v>
        <stp/>
        <stp>LAST</stp>
        <stp>ACLS</stp>
        <tr r="G6" s="2"/>
        <tr r="E6" s="3"/>
      </tp>
      <tp>
        <v>6.1749999999999998</v>
        <stp/>
        <stp>LAST</stp>
        <stp>HAFN</stp>
        <tr r="G57" s="2"/>
        <tr r="G56" s="2"/>
        <tr r="G54" s="2"/>
        <tr r="G58" s="2"/>
        <tr r="G55" s="2"/>
        <tr r="G53" s="2"/>
        <tr r="E33" s="3"/>
      </tp>
      <tp>
        <v>6.9649999999999999</v>
        <stp/>
        <stp>LAST</stp>
        <stp>YALA</stp>
        <tr r="E67" s="3"/>
        <tr r="G129" s="2"/>
      </tp>
      <tp>
        <v>19.225000000000001</v>
        <stp/>
        <stp>LAST</stp>
        <stp>TGNA</stp>
        <tr r="E57" s="3"/>
        <tr r="G107" s="2"/>
        <tr r="G104" s="2"/>
        <tr r="G102" s="2"/>
        <tr r="G101" s="2"/>
        <tr r="G106" s="2"/>
        <tr r="G105" s="2"/>
        <tr r="G103" s="2"/>
      </tp>
      <tp>
        <v>44.15</v>
        <stp/>
        <stp>LAST</stp>
        <stp>SU</stp>
        <tr r="G100" s="2"/>
        <tr r="E56" s="3"/>
        <tr r="G99" s="2"/>
      </tp>
      <tp>
        <v>79.739999999999995</v>
        <stp/>
        <stp>LAST</stp>
        <stp>ZM</stp>
        <tr r="G136" s="2"/>
        <tr r="G135" s="2"/>
        <tr r="G134" s="2"/>
        <tr r="E70" s="3"/>
      </tp>
      <tp>
        <v>47.92</v>
        <stp/>
        <stp>LAST</stp>
        <stp>ON</stp>
        <tr r="G77" s="2"/>
        <tr r="G76" s="2"/>
        <tr r="E43" s="3"/>
      </tp>
      <tp>
        <v>3.7349999999999999</v>
        <stp/>
        <stp>LAST</stp>
        <stp>LX</stp>
        <tr r="E37" s="3"/>
        <tr r="G64" s="2"/>
      </tp>
      <tp>
        <v>27.19</v>
        <stp/>
        <stp>LAST</stp>
        <stp>HG</stp>
        <tr r="G61" s="2"/>
        <tr r="G60" s="2"/>
        <tr r="E34" s="3"/>
        <tr r="G59" s="2"/>
      </tp>
      <tp>
        <v>44.35</v>
        <stp/>
        <stp>LAST</stp>
        <stp>G</stp>
        <tr r="E28" s="3"/>
        <tr r="G39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Value Weight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rgbClr val="0E2841"/>
              </a:solidFill>
              <a:latin typeface="Aptos Narrow" panose="02110004020202020204"/>
            </a:rPr>
            <a:t>Value Weight</a:t>
          </a:r>
        </a:p>
      </cx:txPr>
    </cx:title>
    <cx:plotArea>
      <cx:plotAreaRegion>
        <cx:series layoutId="treemap" uniqueId="{B35681C6-CD57-4696-A87A-181319ED734E}">
          <cx:tx>
            <cx:txData>
              <cx:f>_xlchart.v1.1</cx:f>
              <cx:v>Weight</cx:v>
            </cx:txData>
          </cx:tx>
          <cx:dataLabels pos="inEnd">
            <cx:visibility seriesName="0" categoryName="1" value="1"/>
            <cx:separator> </cx:separator>
          </cx:dataLabels>
          <cx:dataId val="0"/>
          <cx:layoutPr>
            <cx:parentLabelLayout val="banner"/>
          </cx:layoutPr>
        </cx:series>
      </cx:plotAreaRegion>
    </cx:plotArea>
  </cx:chart>
  <cx:spPr>
    <a:ln>
      <a:solidFill>
        <a:sysClr val="windowText" lastClr="000000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txData>
          <cx:v>Gross P&amp;L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Gross P&amp;L</a:t>
          </a:r>
        </a:p>
      </cx:txPr>
    </cx:title>
    <cx:plotArea>
      <cx:plotAreaRegion>
        <cx:series layoutId="waterfall" uniqueId="{4A57E401-37B0-43FC-8611-F2B62919051D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/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20</xdr:col>
      <xdr:colOff>0</xdr:colOff>
      <xdr:row>27</xdr:row>
      <xdr:rowOff>7938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3BD059-B3BC-4C75-B6C5-06B1C9E81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781050"/>
              <a:ext cx="6515100" cy="4389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1</xdr:row>
      <xdr:rowOff>0</xdr:rowOff>
    </xdr:from>
    <xdr:to>
      <xdr:col>10</xdr:col>
      <xdr:colOff>754062</xdr:colOff>
      <xdr:row>20</xdr:row>
      <xdr:rowOff>15872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ACE93E-522E-4601-AAEB-77AD71871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49" y="190500"/>
              <a:ext cx="5849938" cy="3635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e Vu" refreshedDate="45985.561226388891" createdVersion="8" refreshedVersion="8" minRefreshableVersion="3" recordCount="135" xr:uid="{B7C20EC4-7066-409B-8B89-DDF3E58AFEF5}">
  <cacheSource type="worksheet">
    <worksheetSource name="undervalued_trades"/>
  </cacheSource>
  <cacheFields count="11">
    <cacheField name="Exec Time" numFmtId="22">
      <sharedItems containsSemiMixedTypes="0" containsNonDate="0" containsDate="1" containsString="0" minDate="2024-10-09T07:00:00" maxDate="2025-11-07T09:30:01" count="113">
        <d v="2025-06-02T12:16:27"/>
        <d v="2025-05-29T10:20:08"/>
        <d v="2025-05-05T09:30:00"/>
        <d v="2025-08-05T09:30:05"/>
        <d v="2025-08-05T09:30:00"/>
        <d v="2025-10-07T09:30:02"/>
        <d v="2025-05-29T16:08:43"/>
        <d v="2024-10-29T10:26:17"/>
        <d v="2025-05-05T07:00:07"/>
        <d v="2025-08-05T09:30:21"/>
        <d v="2025-05-29T10:10:12"/>
        <d v="2025-04-03T10:39:44"/>
        <d v="2025-07-02T09:30:02"/>
        <d v="2025-01-06T09:26:14"/>
        <d v="2025-02-19T12:46:51"/>
        <d v="2025-05-06T07:00:08"/>
        <d v="2024-12-26T09:32:49"/>
        <d v="2024-10-14T12:31:17"/>
        <d v="2025-09-02T09:30:07"/>
        <d v="2025-05-06T13:56:17"/>
        <d v="2025-03-03T13:36:12"/>
        <d v="2025-04-03T07:23:40"/>
        <d v="2025-05-05T09:30:01"/>
        <d v="2025-03-28T11:54:39"/>
        <d v="2025-09-02T09:30:02"/>
        <d v="2025-06-02T07:00:00"/>
        <d v="2025-08-05T09:30:02"/>
        <d v="2025-03-31T09:25:00"/>
        <d v="2025-07-02T09:30:00"/>
        <d v="2025-04-07T07:00:00"/>
        <d v="2025-03-24T15:13:30"/>
        <d v="2025-06-02T07:00:08"/>
        <d v="2025-04-04T07:23:44"/>
        <d v="2025-06-30T09:29:52"/>
        <d v="2025-06-02T09:30:00"/>
        <d v="2025-08-05T09:30:01"/>
        <d v="2025-10-07T09:30:01"/>
        <d v="2025-04-07T07:00:01"/>
        <d v="2025-05-29T10:16:59"/>
        <d v="2025-04-04T07:00:00"/>
        <d v="2025-09-02T09:30:00"/>
        <d v="2025-03-31T07:00:00"/>
        <d v="2025-03-04T09:31:42"/>
        <d v="2024-11-12T09:57:10"/>
        <d v="2025-05-29T16:03:14"/>
        <d v="2025-06-03T09:32:01"/>
        <d v="2025-07-02T09:59:19"/>
        <d v="2025-03-24T07:00:09"/>
        <d v="2024-11-13T09:29:59"/>
        <d v="2025-03-31T08:41:49"/>
        <d v="2025-06-09T11:03:55"/>
        <d v="2025-06-23T09:31:07"/>
        <d v="2025-03-31T07:33:55"/>
        <d v="2024-10-15T07:00:00"/>
        <d v="2025-05-05T16:05:00"/>
        <d v="2025-01-06T09:25:32"/>
        <d v="2025-01-06T07:11:05"/>
        <d v="2025-01-06T07:13:36"/>
        <d v="2025-01-06T07:25:34"/>
        <d v="2025-01-06T07:13:59"/>
        <d v="2025-01-06T09:30:00"/>
        <d v="2025-10-07T09:30:00"/>
        <d v="2025-09-02T09:30:01"/>
        <d v="2025-04-07T09:30:00"/>
        <d v="2025-03-28T10:36:46"/>
        <d v="2025-05-30T09:35:35"/>
        <d v="2025-04-04T07:26:56"/>
        <d v="2025-05-07T14:10:26"/>
        <d v="2025-06-02T09:30:32"/>
        <d v="2024-12-10T12:00:02"/>
        <d v="2025-02-12T18:45:05"/>
        <d v="2025-06-02T07:00:01"/>
        <d v="2025-09-02T09:30:04"/>
        <d v="2025-06-02T09:30:08"/>
        <d v="2025-03-31T07:00:01"/>
        <d v="2025-06-02T08:59:54"/>
        <d v="2025-06-02T09:32:00"/>
        <d v="2025-05-30T09:05:46"/>
        <d v="2025-04-03T10:01:40"/>
        <d v="2025-05-05T07:00:01"/>
        <d v="2025-07-02T09:31:07"/>
        <d v="2024-10-15T09:29:51"/>
        <d v="2025-07-07T14:19:30"/>
        <d v="2025-05-05T11:00:37"/>
        <d v="2025-05-30T12:31:07"/>
        <d v="2025-04-04T07:07:01"/>
        <d v="2025-07-02T09:30:01"/>
        <d v="2025-07-02T10:02:18"/>
        <d v="2025-10-07T09:33:11"/>
        <d v="2025-04-04T12:22:28"/>
        <d v="2025-05-05T09:31:18"/>
        <d v="2025-09-02T09:30:06"/>
        <d v="2025-07-02T09:30:05"/>
        <d v="2025-09-02T09:30:03"/>
        <d v="2025-05-29T10:08:59"/>
        <d v="2024-10-09T07:28:36"/>
        <d v="2024-10-09T08:33:48"/>
        <d v="2024-10-09T09:26:17"/>
        <d v="2025-01-06T15:49:03"/>
        <d v="2024-10-09T07:00:00"/>
        <d v="2025-07-09T11:46:42"/>
        <d v="2025-02-07T11:03:45" u="1"/>
        <d v="2025-03-04T10:04:19" u="1"/>
        <d v="2025-03-04T10:05:22" u="1"/>
        <d v="2025-04-04T07:00:43" u="1"/>
        <d v="2025-06-09T11:14:43" u="1"/>
        <d v="2025-03-04T10:14:59" u="1"/>
        <d v="2025-11-07T09:30:01" u="1"/>
        <d v="2025-09-23T09:30:00" u="1"/>
        <d v="2025-10-10T09:51:53" u="1"/>
        <d v="2025-09-03T09:30:02" u="1"/>
        <d v="2024-12-03T09:30:02" u="1"/>
        <d v="2025-06-03T07:00:00" u="1"/>
      </sharedItems>
      <fieldGroup par="10"/>
    </cacheField>
    <cacheField name="Symbol" numFmtId="0">
      <sharedItems count="67">
        <s v="ABEV"/>
        <s v="ACLS"/>
        <s v="ACN"/>
        <s v="AEO"/>
        <s v="AMTD"/>
        <s v="ASO"/>
        <s v="ATKR"/>
        <s v="AZN"/>
        <s v="BTU"/>
        <s v="BYD"/>
        <s v="CCRN"/>
        <s v="CHA"/>
        <s v="CHRD"/>
        <s v="CIVI"/>
        <s v="CNR"/>
        <s v="COP"/>
        <s v="CRUS"/>
        <s v="CTSH"/>
        <s v="CVE"/>
        <s v="DDI"/>
        <s v="DOX"/>
        <s v="FHI"/>
        <s v="FINV"/>
        <s v="G"/>
        <s v="GIB"/>
        <s v="GIII"/>
        <s v="GMAB"/>
        <s v="GSL"/>
        <s v="HAFN"/>
        <s v="HG"/>
        <s v="HNI"/>
        <s v="KOF"/>
        <s v="LX"/>
        <s v="MAT"/>
        <s v="MOMO"/>
        <s v="MSFT"/>
        <s v="NMIH"/>
        <s v="NXT"/>
        <s v="ON"/>
        <s v="OVV"/>
        <s v="PDD"/>
        <s v="PDS"/>
        <s v="PHM"/>
        <s v="RAL"/>
        <s v="RWAY"/>
        <s v="SCVL"/>
        <s v="SFD"/>
        <s v="SGU"/>
        <s v="SITC"/>
        <s v="SQM"/>
        <s v="STNG"/>
        <s v="SU"/>
        <s v="TGNA"/>
        <s v="TGT"/>
        <s v="TMHC"/>
        <s v="TPVG"/>
        <s v="TTE"/>
        <s v="VCTR"/>
        <s v="VICI"/>
        <s v="VIPS"/>
        <s v="WIT"/>
        <s v="XYF"/>
        <s v="YALA"/>
        <s v="YRD"/>
        <s v="YUMC"/>
        <s v="ZM"/>
        <s v="ZS" u="1"/>
      </sharedItems>
    </cacheField>
    <cacheField name="Qty" numFmtId="0">
      <sharedItems containsSemiMixedTypes="0" containsString="0" containsNumber="1" containsInteger="1" minValue="-120" maxValue="750"/>
    </cacheField>
    <cacheField name="Price" numFmtId="0">
      <sharedItems containsSemiMixedTypes="0" containsString="0" containsNumber="1" minValue="1.33" maxValue="528.20000000000005"/>
    </cacheField>
    <cacheField name="Cost &amp; Gain" numFmtId="0">
      <sharedItems containsSemiMixedTypes="0" containsString="0" containsNumber="1" minValue="-4280" maxValue="5282"/>
    </cacheField>
    <cacheField name="Avg Price" numFmtId="2">
      <sharedItems containsMixedTypes="1" containsNumber="1" minValue="1.33" maxValue="249.13000000000002"/>
    </cacheField>
    <cacheField name="Current Price" numFmtId="2">
      <sharedItems containsSemiMixedTypes="0" containsString="0" containsNumber="1" minValue="0.96868299999999996" maxValue="475.07"/>
    </cacheField>
    <cacheField name="Open P&amp;L" numFmtId="2">
      <sharedItems containsMixedTypes="1" containsNumber="1" minValue="-926.49999999999977" maxValue="1387.5"/>
    </cacheField>
    <cacheField name="Realized  P&amp;L" numFmtId="2">
      <sharedItems containsMixedTypes="1" containsNumber="1" minValue="435.23199999999997" maxValue="1002"/>
    </cacheField>
    <cacheField name="Months (Exec Time)" numFmtId="0" databaseField="0">
      <fieldGroup base="0">
        <rangePr groupBy="months" startDate="2024-10-09T07:00:00" endDate="2025-10-07T09:33:11"/>
        <groupItems count="14">
          <s v="&lt;10/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7/2025"/>
        </groupItems>
      </fieldGroup>
    </cacheField>
    <cacheField name="Years (Exec Time)" numFmtId="0" databaseField="0">
      <fieldGroup base="0">
        <rangePr groupBy="years" startDate="2024-10-09T07:00:00" endDate="2025-10-07T09:33:11"/>
        <groupItems count="4">
          <s v="&lt;10/9/2024"/>
          <s v="2024"/>
          <s v="2025"/>
          <s v="&gt;10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e Vu" refreshedDate="45985.561932523146" backgroundQuery="1" createdVersion="8" refreshedVersion="8" minRefreshableVersion="3" recordCount="0" supportSubquery="1" supportAdvancedDrill="1" xr:uid="{D8187BAF-73E9-4BFD-B330-8F1FB4216A7D}">
  <cacheSource type="external" connectionId="5"/>
  <cacheFields count="6">
    <cacheField name="[undervalued_trades].[Exec Time].[Exec Time]" caption="Exec Time" numFmtId="0" level="1">
      <sharedItems containsSemiMixedTypes="0" containsNonDate="0" containsDate="1" containsString="0" minDate="2024-10-09T07:00:00" maxDate="2024-12-26T09:32:49" count="12">
        <d v="2024-10-09T07:00:00"/>
        <d v="2024-10-09T07:28:36"/>
        <d v="2024-10-09T08:33:48"/>
        <d v="2024-10-09T09:26:17"/>
        <d v="2024-10-14T12:31:17"/>
        <d v="2024-10-15T07:00:00"/>
        <d v="2024-10-15T09:29:51"/>
        <d v="2024-10-29T10:26:17"/>
        <d v="2024-11-12T09:57:10"/>
        <d v="2024-11-13T09:29:59"/>
        <d v="2024-12-10T12:00:02"/>
        <d v="2024-12-26T09:32:49"/>
      </sharedItems>
      <extLst>
        <ext xmlns:x15="http://schemas.microsoft.com/office/spreadsheetml/2010/11/main" uri="{4F2E5C28-24EA-4eb8-9CBF-B6C8F9C3D259}">
          <x15:cachedUniqueNames>
            <x15:cachedUniqueName index="0" name="[undervalued_trades].[Exec Time].&amp;[2024-10-09T07:00:00]"/>
            <x15:cachedUniqueName index="1" name="[undervalued_trades].[Exec Time].&amp;[2024-10-09T07:28:36]"/>
            <x15:cachedUniqueName index="2" name="[undervalued_trades].[Exec Time].&amp;[2024-10-09T08:33:48]"/>
            <x15:cachedUniqueName index="3" name="[undervalued_trades].[Exec Time].&amp;[2024-10-09T09:26:17]"/>
            <x15:cachedUniqueName index="4" name="[undervalued_trades].[Exec Time].&amp;[2024-10-14T12:31:17]"/>
            <x15:cachedUniqueName index="5" name="[undervalued_trades].[Exec Time].&amp;[2024-10-15T07:00:00]"/>
            <x15:cachedUniqueName index="6" name="[undervalued_trades].[Exec Time].&amp;[2024-10-15T09:29:51]"/>
            <x15:cachedUniqueName index="7" name="[undervalued_trades].[Exec Time].&amp;[2024-10-29T10:26:17]"/>
            <x15:cachedUniqueName index="8" name="[undervalued_trades].[Exec Time].&amp;[2024-11-12T09:57:10]"/>
            <x15:cachedUniqueName index="9" name="[undervalued_trades].[Exec Time].&amp;[2024-11-13T09:29:59]"/>
            <x15:cachedUniqueName index="10" name="[undervalued_trades].[Exec Time].&amp;[2024-12-10T12:00:02]"/>
            <x15:cachedUniqueName index="11" name="[undervalued_trades].[Exec Time].&amp;[2024-12-26T09:32:49]"/>
          </x15:cachedUniqueNames>
        </ext>
      </extLst>
    </cacheField>
    <cacheField name="[undervalued_trades].[Exec Time (Month)].[Exec Time (Month)]" caption="Exec Time (Month)" numFmtId="0" hierarchy="11" level="1">
      <sharedItems count="3">
        <s v="Oct"/>
        <s v="Nov"/>
        <s v="Dec"/>
      </sharedItems>
    </cacheField>
    <cacheField name="[undervalued_trades].[Exec Time (Year)].[Exec Time (Year)]" caption="Exec Time (Year)" numFmtId="0" hierarchy="9" level="1">
      <sharedItems count="2">
        <s v="2024"/>
        <s v="2025"/>
      </sharedItems>
    </cacheField>
    <cacheField name="[Measures].[Count of Symbol]" caption="Count of Symbol" numFmtId="0" hierarchy="15" level="32767"/>
    <cacheField name="[Measures].[Distinct Count of Symbol]" caption="Distinct Count of Symbol" numFmtId="0" hierarchy="16" level="32767"/>
    <cacheField name="[Measures].[Sum of Cost &amp; Gain]" caption="Sum of Cost &amp; Gain" numFmtId="0" hierarchy="17" level="32767"/>
  </cacheFields>
  <cacheHierarchies count="18">
    <cacheHierarchy uniqueName="[undervalued_trades].[Exec Time]" caption="Exec Time" attribute="1" time="1" defaultMemberUniqueName="[undervalued_trades].[Exec Time].[All]" allUniqueName="[undervalued_trades].[Exec Time].[All]" dimensionUniqueName="[undervalued_trades]" displayFolder="" count="2" memberValueDatatype="7" unbalanced="0">
      <fieldsUsage count="2">
        <fieldUsage x="-1"/>
        <fieldUsage x="0"/>
      </fieldsUsage>
    </cacheHierarchy>
    <cacheHierarchy uniqueName="[undervalued_trades].[Symbol]" caption="Symbol" attribute="1" defaultMemberUniqueName="[undervalued_trades].[Symbol].[All]" allUniqueName="[undervalued_trades].[Symbol].[All]" dimensionUniqueName="[undervalued_trades]" displayFolder="" count="0" memberValueDatatype="130" unbalanced="0"/>
    <cacheHierarchy uniqueName="[undervalued_trades].[Qty]" caption="Qty" attribute="1" defaultMemberUniqueName="[undervalued_trades].[Qty].[All]" allUniqueName="[undervalued_trades].[Qty].[All]" dimensionUniqueName="[undervalued_trades]" displayFolder="" count="0" memberValueDatatype="20" unbalanced="0"/>
    <cacheHierarchy uniqueName="[undervalued_trades].[Price]" caption="Price" attribute="1" defaultMemberUniqueName="[undervalued_trades].[Price].[All]" allUniqueName="[undervalued_trades].[Price].[All]" dimensionUniqueName="[undervalued_trades]" displayFolder="" count="0" memberValueDatatype="5" unbalanced="0"/>
    <cacheHierarchy uniqueName="[undervalued_trades].[Cost &amp; Gain]" caption="Cost &amp; Gain" attribute="1" defaultMemberUniqueName="[undervalued_trades].[Cost &amp; Gain].[All]" allUniqueName="[undervalued_trades].[Cost &amp; Gain].[All]" dimensionUniqueName="[undervalued_trades]" displayFolder="" count="0" memberValueDatatype="5" unbalanced="0"/>
    <cacheHierarchy uniqueName="[undervalued_trades].[Avg Price]" caption="Avg Price" attribute="1" defaultMemberUniqueName="[undervalued_trades].[Avg Price].[All]" allUniqueName="[undervalued_trades].[Avg Price].[All]" dimensionUniqueName="[undervalued_trades]" displayFolder="" count="0" memberValueDatatype="130" unbalanced="0"/>
    <cacheHierarchy uniqueName="[undervalued_trades].[Current Price]" caption="Current Price" attribute="1" defaultMemberUniqueName="[undervalued_trades].[Current Price].[All]" allUniqueName="[undervalued_trades].[Current Price].[All]" dimensionUniqueName="[undervalued_trades]" displayFolder="" count="0" memberValueDatatype="5" unbalanced="0"/>
    <cacheHierarchy uniqueName="[undervalued_trades].[Open P&amp;L]" caption="Open P&amp;L" attribute="1" defaultMemberUniqueName="[undervalued_trades].[Open P&amp;L].[All]" allUniqueName="[undervalued_trades].[Open P&amp;L].[All]" dimensionUniqueName="[undervalued_trades]" displayFolder="" count="0" memberValueDatatype="130" unbalanced="0"/>
    <cacheHierarchy uniqueName="[undervalued_trades].[Realized  P&amp;L]" caption="Realized  P&amp;L" attribute="1" defaultMemberUniqueName="[undervalued_trades].[Realized  P&amp;L].[All]" allUniqueName="[undervalued_trades].[Realized  P&amp;L].[All]" dimensionUniqueName="[undervalued_trades]" displayFolder="" count="0" memberValueDatatype="130" unbalanced="0"/>
    <cacheHierarchy uniqueName="[undervalued_trades].[Exec Time (Year)]" caption="Exec Time (Year)" attribute="1" defaultMemberUniqueName="[undervalued_trades].[Exec Time (Year)].[All]" allUniqueName="[undervalued_trades].[Exec Time (Year)].[All]" dimensionUniqueName="[undervalued_trades]" displayFolder="" count="2" memberValueDatatype="130" unbalanced="0">
      <fieldsUsage count="2">
        <fieldUsage x="-1"/>
        <fieldUsage x="2"/>
      </fieldsUsage>
    </cacheHierarchy>
    <cacheHierarchy uniqueName="[undervalued_trades].[Exec Time (Quarter)]" caption="Exec Time (Quarter)" attribute="1" defaultMemberUniqueName="[undervalued_trades].[Exec Time (Quarter)].[All]" allUniqueName="[undervalued_trades].[Exec Time (Quarter)].[All]" dimensionUniqueName="[undervalued_trades]" displayFolder="" count="0" memberValueDatatype="130" unbalanced="0"/>
    <cacheHierarchy uniqueName="[undervalued_trades].[Exec Time (Month)]" caption="Exec Time (Month)" attribute="1" defaultMemberUniqueName="[undervalued_trades].[Exec Time (Month)].[All]" allUniqueName="[undervalued_trades].[Exec Time (Month)].[All]" dimensionUniqueName="[undervalued_trades]" displayFolder="" count="2" memberValueDatatype="130" unbalanced="0">
      <fieldsUsage count="2">
        <fieldUsage x="-1"/>
        <fieldUsage x="1"/>
      </fieldsUsage>
    </cacheHierarchy>
    <cacheHierarchy uniqueName="[undervalued_trades].[Exec Time (Month Index)]" caption="Exec Time (Month Index)" attribute="1" defaultMemberUniqueName="[undervalued_trades].[Exec Time (Month Index)].[All]" allUniqueName="[undervalued_trades].[Exec Time (Month Index)].[All]" dimensionUniqueName="[undervalued_trades]" displayFolder="" count="0" memberValueDatatype="20" unbalanced="0" hidden="1"/>
    <cacheHierarchy uniqueName="[Measures].[__XL_Count undervalued_trades]" caption="__XL_Count undervalued_trades" measure="1" displayFolder="" measureGroup="undervalued_trades" count="0" hidden="1"/>
    <cacheHierarchy uniqueName="[Measures].[__No measures defined]" caption="__No measures defined" measure="1" displayFolder="" count="0" hidden="1"/>
    <cacheHierarchy uniqueName="[Measures].[Count of Symbol]" caption="Count of Symbol" measure="1" displayFolder="" measureGroup="undervalued_trad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ymbol]" caption="Distinct Count of Symbol" measure="1" displayFolder="" measureGroup="undervalued_trad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ost &amp; Gain]" caption="Sum of Cost &amp; Gain" measure="1" displayFolder="" measureGroup="undervalued_trad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undervalued_trades" uniqueName="[undervalued_trades]" caption="undervalued_trades"/>
  </dimensions>
  <measureGroups count="1">
    <measureGroup name="undervalued_trades" caption="undervalued_trad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x v="0"/>
    <n v="410"/>
    <n v="2.44"/>
    <n v="-1000.4"/>
    <n v="2.398963855421687"/>
    <n v="2.5099999999999998"/>
    <n v="184.31999999999923"/>
    <s v=""/>
  </r>
  <r>
    <x v="1"/>
    <x v="0"/>
    <n v="400"/>
    <n v="2.4897"/>
    <n v="-995.88"/>
    <n v="2.398963855421687"/>
    <n v="2.5099999999999998"/>
    <n v="184.31999999999923"/>
    <s v=""/>
  </r>
  <r>
    <x v="2"/>
    <x v="0"/>
    <n v="400"/>
    <n v="2.4900000000000002"/>
    <n v="-996.00000000000011"/>
    <n v="2.398963855421687"/>
    <n v="2.5099999999999998"/>
    <n v="184.31999999999923"/>
    <s v=""/>
  </r>
  <r>
    <x v="3"/>
    <x v="0"/>
    <n v="450"/>
    <n v="2.2000000000000002"/>
    <n v="-990.00000000000011"/>
    <n v="2.398963855421687"/>
    <n v="2.5099999999999998"/>
    <n v="184.31999999999923"/>
    <s v=""/>
  </r>
  <r>
    <x v="4"/>
    <x v="1"/>
    <n v="10"/>
    <n v="80"/>
    <n v="-800"/>
    <n v="80"/>
    <n v="78.905000000000001"/>
    <n v="-10.949999999999989"/>
    <s v=""/>
  </r>
  <r>
    <x v="5"/>
    <x v="2"/>
    <n v="10"/>
    <n v="249.13"/>
    <n v="-2491.3000000000002"/>
    <n v="249.13000000000002"/>
    <n v="248.57"/>
    <n v="-5.600000000000307"/>
    <s v=""/>
  </r>
  <r>
    <x v="6"/>
    <x v="3"/>
    <n v="100"/>
    <n v="10.42"/>
    <n v="-1042"/>
    <n v="10.42"/>
    <n v="19.074999999999999"/>
    <n v="865.49999999999989"/>
    <s v=""/>
  </r>
  <r>
    <x v="7"/>
    <x v="4"/>
    <n v="750"/>
    <n v="1.33"/>
    <n v="-997.5"/>
    <n v="1.33"/>
    <n v="0.96868299999999996"/>
    <n v="-270.98775000000006"/>
    <s v=""/>
  </r>
  <r>
    <x v="8"/>
    <x v="5"/>
    <n v="20"/>
    <n v="38.950000000000003"/>
    <n v="-779"/>
    <n v="38.950000000000003"/>
    <n v="45.055"/>
    <n v="122.09999999999994"/>
    <s v=""/>
  </r>
  <r>
    <x v="9"/>
    <x v="6"/>
    <n v="10"/>
    <n v="70"/>
    <n v="-700"/>
    <n v="61.995000000000005"/>
    <n v="62.564999999999998"/>
    <n v="22.799999999999727"/>
    <s v=""/>
  </r>
  <r>
    <x v="10"/>
    <x v="6"/>
    <n v="10"/>
    <n v="65.98"/>
    <n v="-659.80000000000007"/>
    <n v="61.995000000000005"/>
    <n v="62.564999999999998"/>
    <n v="22.799999999999727"/>
    <s v=""/>
  </r>
  <r>
    <x v="11"/>
    <x v="6"/>
    <n v="20"/>
    <n v="56"/>
    <n v="-1120"/>
    <n v="61.995000000000005"/>
    <n v="62.564999999999998"/>
    <n v="22.799999999999727"/>
    <s v=""/>
  </r>
  <r>
    <x v="12"/>
    <x v="7"/>
    <n v="10"/>
    <n v="70.62"/>
    <n v="-706.2"/>
    <n v="70.62"/>
    <n v="91.6"/>
    <n v="209.7999999999999"/>
    <s v=""/>
  </r>
  <r>
    <x v="13"/>
    <x v="8"/>
    <n v="50"/>
    <n v="20.23"/>
    <n v="-1011.5"/>
    <n v="16.690000000000001"/>
    <n v="25.94"/>
    <n v="1387.5"/>
    <s v=""/>
  </r>
  <r>
    <x v="14"/>
    <x v="8"/>
    <n v="100"/>
    <n v="14.92"/>
    <n v="-1492"/>
    <n v="16.690000000000001"/>
    <n v="25.94"/>
    <n v="1387.5"/>
    <s v=""/>
  </r>
  <r>
    <x v="15"/>
    <x v="9"/>
    <n v="10"/>
    <n v="69.83"/>
    <n v="-698.3"/>
    <n v="69.83"/>
    <n v="81.510000000000005"/>
    <n v="116.80000000000007"/>
    <s v=""/>
  </r>
  <r>
    <x v="16"/>
    <x v="10"/>
    <n v="-80"/>
    <n v="17.9404"/>
    <n v="1435.232"/>
    <s v=""/>
    <n v="11.15"/>
    <s v=""/>
    <n v="435.23199999999997"/>
  </r>
  <r>
    <x v="17"/>
    <x v="10"/>
    <n v="80"/>
    <n v="12.5"/>
    <n v="-1000"/>
    <s v=""/>
    <n v="11.15"/>
    <s v=""/>
    <s v=""/>
  </r>
  <r>
    <x v="18"/>
    <x v="11"/>
    <n v="50"/>
    <n v="19"/>
    <n v="-950"/>
    <n v="19"/>
    <n v="13.385"/>
    <n v="-280.75"/>
    <s v=""/>
  </r>
  <r>
    <x v="19"/>
    <x v="12"/>
    <n v="10"/>
    <n v="90"/>
    <n v="-900"/>
    <n v="98.75"/>
    <n v="93.29"/>
    <n v="-109.19999999999987"/>
    <s v=""/>
  </r>
  <r>
    <x v="20"/>
    <x v="12"/>
    <n v="10"/>
    <n v="107.5"/>
    <n v="-1075"/>
    <n v="98.75"/>
    <n v="93.29"/>
    <n v="-109.19999999999987"/>
    <s v=""/>
  </r>
  <r>
    <x v="21"/>
    <x v="13"/>
    <n v="30"/>
    <n v="33.33"/>
    <n v="-999.9"/>
    <n v="33.33"/>
    <n v="27.86"/>
    <n v="-164.09999999999997"/>
    <s v=""/>
  </r>
  <r>
    <x v="22"/>
    <x v="14"/>
    <n v="10"/>
    <n v="74"/>
    <n v="-740"/>
    <n v="74"/>
    <n v="76.594999999999999"/>
    <n v="25.949999999999989"/>
    <s v=""/>
  </r>
  <r>
    <x v="22"/>
    <x v="15"/>
    <n v="10"/>
    <n v="89.69"/>
    <n v="-896.9"/>
    <n v="89.69"/>
    <n v="87.474999999999994"/>
    <n v="-22.150000000000034"/>
    <s v=""/>
  </r>
  <r>
    <x v="23"/>
    <x v="16"/>
    <n v="10"/>
    <n v="100"/>
    <n v="-1000"/>
    <n v="100"/>
    <n v="117.88500000000001"/>
    <n v="178.85000000000005"/>
    <s v=""/>
  </r>
  <r>
    <x v="24"/>
    <x v="17"/>
    <n v="10"/>
    <n v="71.489999999999995"/>
    <n v="-714.9"/>
    <n v="75.804000000000002"/>
    <n v="75.77"/>
    <n v="-1.7000000000003013"/>
    <s v=""/>
  </r>
  <r>
    <x v="25"/>
    <x v="17"/>
    <n v="10"/>
    <n v="80.97"/>
    <n v="-809.7"/>
    <n v="75.804000000000002"/>
    <n v="75.77"/>
    <n v="-1.7000000000003013"/>
    <s v=""/>
  </r>
  <r>
    <x v="26"/>
    <x v="17"/>
    <n v="10"/>
    <n v="71.260000000000005"/>
    <n v="-712.6"/>
    <n v="75.804000000000002"/>
    <n v="75.77"/>
    <n v="-1.7000000000003013"/>
    <s v=""/>
  </r>
  <r>
    <x v="27"/>
    <x v="17"/>
    <n v="10"/>
    <n v="75"/>
    <n v="-750"/>
    <n v="75.804000000000002"/>
    <n v="75.77"/>
    <n v="-1.7000000000003013"/>
    <s v=""/>
  </r>
  <r>
    <x v="28"/>
    <x v="17"/>
    <n v="10"/>
    <n v="80.3"/>
    <n v="-803"/>
    <n v="75.804000000000002"/>
    <n v="75.77"/>
    <n v="-1.7000000000003013"/>
    <s v=""/>
  </r>
  <r>
    <x v="29"/>
    <x v="18"/>
    <n v="90"/>
    <n v="10.84"/>
    <n v="-975.6"/>
    <n v="10.84"/>
    <n v="17.91"/>
    <n v="636.30000000000007"/>
    <s v=""/>
  </r>
  <r>
    <x v="30"/>
    <x v="19"/>
    <n v="100"/>
    <n v="10.050000000000001"/>
    <n v="-1005.0000000000001"/>
    <n v="10.050000000000001"/>
    <n v="9.14"/>
    <n v="-91.000000000000014"/>
    <s v=""/>
  </r>
  <r>
    <x v="31"/>
    <x v="20"/>
    <n v="10"/>
    <n v="91.76"/>
    <n v="-917.6"/>
    <n v="88.13"/>
    <n v="75.864999999999995"/>
    <n v="-245.3"/>
    <s v=""/>
  </r>
  <r>
    <x v="32"/>
    <x v="20"/>
    <n v="10"/>
    <n v="84.5"/>
    <n v="-845"/>
    <n v="88.13"/>
    <n v="75.864999999999995"/>
    <n v="-245.3"/>
    <s v=""/>
  </r>
  <r>
    <x v="33"/>
    <x v="21"/>
    <n v="20"/>
    <n v="44.5"/>
    <n v="-890"/>
    <n v="44.5"/>
    <n v="48.87"/>
    <n v="87.399999999999949"/>
    <s v=""/>
  </r>
  <r>
    <x v="34"/>
    <x v="22"/>
    <n v="20"/>
    <n v="8.36"/>
    <n v="-167.2"/>
    <n v="8.3600000000000012"/>
    <n v="4.92"/>
    <n v="-412.80000000000018"/>
    <s v=""/>
  </r>
  <r>
    <x v="34"/>
    <x v="22"/>
    <n v="100"/>
    <n v="8.36"/>
    <n v="-836"/>
    <n v="8.3600000000000012"/>
    <n v="4.92"/>
    <n v="-412.80000000000018"/>
    <s v=""/>
  </r>
  <r>
    <x v="5"/>
    <x v="23"/>
    <n v="20"/>
    <n v="41.15"/>
    <n v="-823"/>
    <n v="41.15"/>
    <n v="44.3551"/>
    <n v="64.102000000000032"/>
    <s v=""/>
  </r>
  <r>
    <x v="35"/>
    <x v="24"/>
    <n v="10"/>
    <n v="96.75"/>
    <n v="-967.5"/>
    <n v="94.537499999999994"/>
    <n v="88.4"/>
    <n v="-245.49999999999955"/>
    <s v=""/>
  </r>
  <r>
    <x v="36"/>
    <x v="24"/>
    <n v="10"/>
    <n v="91.34"/>
    <n v="-913.40000000000009"/>
    <n v="94.537499999999994"/>
    <n v="88.4"/>
    <n v="-245.49999999999955"/>
    <s v=""/>
  </r>
  <r>
    <x v="37"/>
    <x v="24"/>
    <n v="10"/>
    <n v="93.8"/>
    <n v="-938"/>
    <n v="94.537499999999994"/>
    <n v="88.4"/>
    <n v="-245.49999999999955"/>
    <s v=""/>
  </r>
  <r>
    <x v="24"/>
    <x v="24"/>
    <n v="10"/>
    <n v="96.26"/>
    <n v="-962.6"/>
    <n v="94.537499999999994"/>
    <n v="88.4"/>
    <n v="-245.49999999999955"/>
    <s v=""/>
  </r>
  <r>
    <x v="26"/>
    <x v="25"/>
    <n v="40"/>
    <n v="24.28"/>
    <n v="-971.2"/>
    <n v="26.40444444444444"/>
    <n v="28.54"/>
    <n v="384.4000000000006"/>
    <s v=""/>
  </r>
  <r>
    <x v="24"/>
    <x v="25"/>
    <n v="40"/>
    <n v="26.89"/>
    <n v="-1075.5999999999999"/>
    <n v="26.40444444444444"/>
    <n v="28.54"/>
    <n v="384.4000000000006"/>
    <s v=""/>
  </r>
  <r>
    <x v="38"/>
    <x v="25"/>
    <n v="30"/>
    <n v="28.28"/>
    <n v="-848.40000000000009"/>
    <n v="26.40444444444444"/>
    <n v="28.54"/>
    <n v="384.4000000000006"/>
    <s v=""/>
  </r>
  <r>
    <x v="25"/>
    <x v="25"/>
    <n v="30"/>
    <n v="29.04"/>
    <n v="-871.19999999999993"/>
    <n v="26.40444444444444"/>
    <n v="28.54"/>
    <n v="384.4000000000006"/>
    <s v=""/>
  </r>
  <r>
    <x v="39"/>
    <x v="25"/>
    <n v="40"/>
    <n v="24.66"/>
    <n v="-986.4"/>
    <n v="26.40444444444444"/>
    <n v="28.54"/>
    <n v="384.4000000000006"/>
    <s v=""/>
  </r>
  <r>
    <x v="40"/>
    <x v="26"/>
    <n v="40"/>
    <n v="25.79"/>
    <n v="-1031.5999999999999"/>
    <n v="22.228888888888889"/>
    <n v="30.824999999999999"/>
    <n v="773.64999999999986"/>
    <s v=""/>
  </r>
  <r>
    <x v="41"/>
    <x v="26"/>
    <n v="50"/>
    <n v="19.38"/>
    <n v="-969"/>
    <n v="22.228888888888889"/>
    <n v="30.824999999999999"/>
    <n v="773.64999999999986"/>
    <s v=""/>
  </r>
  <r>
    <x v="42"/>
    <x v="27"/>
    <n v="50"/>
    <n v="21"/>
    <n v="-1050"/>
    <n v="22.004444444444445"/>
    <n v="34.22"/>
    <n v="1099.3999999999999"/>
    <s v=""/>
  </r>
  <r>
    <x v="43"/>
    <x v="27"/>
    <n v="40"/>
    <n v="23.26"/>
    <n v="-930.40000000000009"/>
    <n v="22.004444444444445"/>
    <n v="34.22"/>
    <n v="1099.3999999999999"/>
    <s v=""/>
  </r>
  <r>
    <x v="44"/>
    <x v="28"/>
    <n v="200"/>
    <n v="5"/>
    <n v="-1000"/>
    <n v="5.1386556521739131"/>
    <n v="6.1749999999999998"/>
    <n v="1191.7959999999998"/>
    <s v=""/>
  </r>
  <r>
    <x v="45"/>
    <x v="28"/>
    <n v="200"/>
    <n v="5"/>
    <n v="-1000"/>
    <n v="5.1386556521739131"/>
    <n v="6.1749999999999998"/>
    <n v="1191.7959999999998"/>
    <s v=""/>
  </r>
  <r>
    <x v="46"/>
    <x v="28"/>
    <n v="200"/>
    <n v="4.99"/>
    <n v="-998"/>
    <n v="5.1386556521739131"/>
    <n v="6.1749999999999998"/>
    <n v="1191.7959999999998"/>
    <s v=""/>
  </r>
  <r>
    <x v="47"/>
    <x v="28"/>
    <n v="230"/>
    <n v="4.3498000000000001"/>
    <n v="-1000.4540000000001"/>
    <n v="5.1386556521739131"/>
    <n v="6.1749999999999998"/>
    <n v="1191.7959999999998"/>
    <s v=""/>
  </r>
  <r>
    <x v="24"/>
    <x v="28"/>
    <n v="150"/>
    <n v="6.11"/>
    <n v="-916.5"/>
    <n v="5.1386556521739131"/>
    <n v="6.1749999999999998"/>
    <n v="1191.7959999999998"/>
    <s v=""/>
  </r>
  <r>
    <x v="4"/>
    <x v="28"/>
    <n v="170"/>
    <n v="5.85"/>
    <n v="-994.49999999999989"/>
    <n v="5.1386556521739131"/>
    <n v="6.1749999999999998"/>
    <n v="1191.7959999999998"/>
    <s v=""/>
  </r>
  <r>
    <x v="48"/>
    <x v="29"/>
    <n v="50"/>
    <n v="17.809999999999999"/>
    <n v="-890.49999999999989"/>
    <n v="19.813333333333333"/>
    <n v="27.2"/>
    <n v="1108"/>
    <s v=""/>
  </r>
  <r>
    <x v="49"/>
    <x v="29"/>
    <n v="50"/>
    <n v="21"/>
    <n v="-1050"/>
    <n v="19.813333333333333"/>
    <n v="27.2"/>
    <n v="1108"/>
    <s v=""/>
  </r>
  <r>
    <x v="50"/>
    <x v="29"/>
    <n v="50"/>
    <n v="20.63"/>
    <n v="-1031.5"/>
    <n v="19.813333333333333"/>
    <n v="27.2"/>
    <n v="1108"/>
    <s v=""/>
  </r>
  <r>
    <x v="51"/>
    <x v="30"/>
    <n v="20"/>
    <n v="46"/>
    <n v="-920"/>
    <n v="46"/>
    <n v="40.6"/>
    <n v="-107.99999999999997"/>
    <s v=""/>
  </r>
  <r>
    <x v="52"/>
    <x v="31"/>
    <n v="10"/>
    <n v="92"/>
    <n v="-920"/>
    <n v="92"/>
    <n v="87.2"/>
    <n v="-47.999999999999972"/>
    <s v=""/>
  </r>
  <r>
    <x v="53"/>
    <x v="32"/>
    <n v="270"/>
    <n v="3.47"/>
    <n v="-936.90000000000009"/>
    <n v="3.47"/>
    <n v="3.74"/>
    <n v="72.900000000000006"/>
    <s v=""/>
  </r>
  <r>
    <x v="54"/>
    <x v="33"/>
    <n v="60"/>
    <n v="16"/>
    <n v="-960"/>
    <n v="16"/>
    <n v="20.259899999999998"/>
    <n v="255.59399999999988"/>
    <s v=""/>
  </r>
  <r>
    <x v="55"/>
    <x v="34"/>
    <n v="90"/>
    <n v="7.18"/>
    <n v="-646.19999999999993"/>
    <n v="7.1799999999999979"/>
    <n v="7.02"/>
    <n v="-20.799999999999788"/>
    <s v=""/>
  </r>
  <r>
    <x v="56"/>
    <x v="34"/>
    <n v="10"/>
    <n v="7.18"/>
    <n v="-71.8"/>
    <n v="7.1799999999999979"/>
    <n v="7.02"/>
    <n v="-20.799999999999788"/>
    <s v=""/>
  </r>
  <r>
    <x v="57"/>
    <x v="34"/>
    <n v="10"/>
    <n v="7.18"/>
    <n v="-71.8"/>
    <n v="7.1799999999999979"/>
    <n v="7.02"/>
    <n v="-20.799999999999788"/>
    <s v=""/>
  </r>
  <r>
    <x v="58"/>
    <x v="34"/>
    <n v="10"/>
    <n v="7.18"/>
    <n v="-71.8"/>
    <n v="7.1799999999999979"/>
    <n v="7.02"/>
    <n v="-20.799999999999788"/>
    <s v=""/>
  </r>
  <r>
    <x v="59"/>
    <x v="34"/>
    <n v="10"/>
    <n v="7.18"/>
    <n v="-71.8"/>
    <n v="7.1799999999999979"/>
    <n v="7.02"/>
    <n v="-20.799999999999788"/>
    <s v=""/>
  </r>
  <r>
    <x v="60"/>
    <x v="35"/>
    <n v="10"/>
    <n v="428"/>
    <n v="-4280"/>
    <s v=""/>
    <n v="475.07"/>
    <s v=""/>
    <s v=""/>
  </r>
  <r>
    <x v="61"/>
    <x v="35"/>
    <n v="-10"/>
    <n v="528.20000000000005"/>
    <n v="5282"/>
    <s v=""/>
    <n v="475.07"/>
    <s v=""/>
    <n v="1002"/>
  </r>
  <r>
    <x v="62"/>
    <x v="36"/>
    <n v="20"/>
    <n v="39"/>
    <n v="-780"/>
    <n v="35.4"/>
    <n v="38"/>
    <n v="130.00000000000006"/>
    <s v=""/>
  </r>
  <r>
    <x v="63"/>
    <x v="36"/>
    <n v="30"/>
    <n v="33"/>
    <n v="-990"/>
    <n v="35.4"/>
    <n v="38"/>
    <n v="130.00000000000006"/>
    <s v=""/>
  </r>
  <r>
    <x v="61"/>
    <x v="37"/>
    <n v="10"/>
    <n v="78.34"/>
    <n v="-783.40000000000009"/>
    <n v="78.34"/>
    <n v="87.185900000000004"/>
    <n v="88.459000000000003"/>
    <s v=""/>
  </r>
  <r>
    <x v="64"/>
    <x v="38"/>
    <n v="20"/>
    <n v="42"/>
    <n v="-840"/>
    <n v="42"/>
    <n v="47.89"/>
    <n v="235.60000000000002"/>
    <s v=""/>
  </r>
  <r>
    <x v="65"/>
    <x v="38"/>
    <n v="20"/>
    <n v="42"/>
    <n v="-840"/>
    <n v="42"/>
    <n v="47.89"/>
    <n v="235.60000000000002"/>
    <s v=""/>
  </r>
  <r>
    <x v="66"/>
    <x v="39"/>
    <n v="20"/>
    <n v="36.619999999999997"/>
    <n v="-732.4"/>
    <n v="34.646000000000001"/>
    <n v="39.56"/>
    <n v="245.70000000000007"/>
    <s v=""/>
  </r>
  <r>
    <x v="67"/>
    <x v="39"/>
    <n v="30"/>
    <n v="33.33"/>
    <n v="-999.9"/>
    <n v="34.646000000000001"/>
    <n v="39.56"/>
    <n v="245.70000000000007"/>
    <s v=""/>
  </r>
  <r>
    <x v="36"/>
    <x v="40"/>
    <n v="10"/>
    <n v="134.49"/>
    <n v="-1344.9"/>
    <n v="115.245"/>
    <n v="113.65"/>
    <n v="-31.899999999999977"/>
    <s v=""/>
  </r>
  <r>
    <x v="68"/>
    <x v="40"/>
    <n v="10"/>
    <n v="96"/>
    <n v="-960"/>
    <n v="115.245"/>
    <n v="113.65"/>
    <n v="-31.899999999999977"/>
    <s v=""/>
  </r>
  <r>
    <x v="69"/>
    <x v="41"/>
    <n v="10"/>
    <n v="60.98"/>
    <n v="-609.79999999999995"/>
    <n v="57.739999999999995"/>
    <n v="58.45"/>
    <n v="14.200000000000159"/>
    <s v=""/>
  </r>
  <r>
    <x v="70"/>
    <x v="41"/>
    <n v="10"/>
    <n v="54.5"/>
    <n v="-545"/>
    <n v="57.739999999999995"/>
    <n v="58.45"/>
    <n v="14.200000000000159"/>
    <s v=""/>
  </r>
  <r>
    <x v="71"/>
    <x v="42"/>
    <n v="10"/>
    <n v="98.03"/>
    <n v="-980.3"/>
    <n v="115.28"/>
    <n v="119.79"/>
    <n v="90.200000000000102"/>
    <s v=""/>
  </r>
  <r>
    <x v="36"/>
    <x v="42"/>
    <n v="10"/>
    <n v="132.53"/>
    <n v="-1325.3"/>
    <n v="115.28"/>
    <n v="119.79"/>
    <n v="90.200000000000102"/>
    <s v=""/>
  </r>
  <r>
    <x v="72"/>
    <x v="43"/>
    <n v="20"/>
    <n v="42.14"/>
    <n v="-842.8"/>
    <n v="42.14"/>
    <n v="46.765000000000001"/>
    <n v="92.5"/>
    <s v=""/>
  </r>
  <r>
    <x v="73"/>
    <x v="44"/>
    <n v="90"/>
    <n v="9.93"/>
    <n v="-893.69999999999993"/>
    <n v="10.449107142857143"/>
    <n v="8.6919000000000004"/>
    <n v="-492.01799999999986"/>
    <s v=""/>
  </r>
  <r>
    <x v="35"/>
    <x v="44"/>
    <n v="90"/>
    <n v="10.67"/>
    <n v="-960.3"/>
    <n v="10.449107142857143"/>
    <n v="8.6919000000000004"/>
    <n v="-492.01799999999986"/>
    <s v=""/>
  </r>
  <r>
    <x v="74"/>
    <x v="44"/>
    <n v="90"/>
    <n v="10.805"/>
    <n v="-972.44999999999993"/>
    <n v="10.449107142857143"/>
    <n v="8.6919000000000004"/>
    <n v="-492.01799999999986"/>
    <s v=""/>
  </r>
  <r>
    <x v="75"/>
    <x v="44"/>
    <n v="10"/>
    <n v="9.93"/>
    <n v="-99.3"/>
    <n v="10.449107142857143"/>
    <n v="8.6919000000000004"/>
    <n v="-492.01799999999986"/>
    <s v=""/>
  </r>
  <r>
    <x v="76"/>
    <x v="45"/>
    <n v="50"/>
    <n v="19"/>
    <n v="-950"/>
    <n v="19"/>
    <n v="16.045000000000002"/>
    <n v="-443.24999999999977"/>
    <s v=""/>
  </r>
  <r>
    <x v="77"/>
    <x v="45"/>
    <n v="50"/>
    <n v="18"/>
    <n v="-900"/>
    <n v="19"/>
    <n v="16.045000000000002"/>
    <n v="-443.24999999999977"/>
    <s v=""/>
  </r>
  <r>
    <x v="78"/>
    <x v="45"/>
    <n v="50"/>
    <n v="20"/>
    <n v="-1000"/>
    <n v="19"/>
    <n v="16.045000000000002"/>
    <n v="-443.24999999999977"/>
    <s v=""/>
  </r>
  <r>
    <x v="79"/>
    <x v="46"/>
    <n v="40"/>
    <n v="22.52"/>
    <n v="-900.8"/>
    <n v="22.52"/>
    <n v="21.405000000000001"/>
    <n v="-44.599999999999937"/>
    <s v=""/>
  </r>
  <r>
    <x v="80"/>
    <x v="47"/>
    <n v="60"/>
    <n v="11.8"/>
    <n v="-708"/>
    <n v="11.8"/>
    <n v="12.15"/>
    <n v="20.999999999999979"/>
    <s v=""/>
  </r>
  <r>
    <x v="81"/>
    <x v="48"/>
    <n v="60"/>
    <n v="17"/>
    <n v="-1020"/>
    <n v="17"/>
    <n v="7.19"/>
    <n v="-588.59999999999991"/>
    <s v=""/>
  </r>
  <r>
    <x v="82"/>
    <x v="49"/>
    <n v="20"/>
    <n v="35.5"/>
    <n v="-710"/>
    <n v="35.5"/>
    <n v="58.55"/>
    <n v="460.99999999999994"/>
    <s v=""/>
  </r>
  <r>
    <x v="83"/>
    <x v="50"/>
    <n v="20"/>
    <n v="39.99"/>
    <n v="-799.80000000000007"/>
    <n v="39.99"/>
    <n v="60.45"/>
    <n v="409.20000000000005"/>
    <s v=""/>
  </r>
  <r>
    <x v="22"/>
    <x v="51"/>
    <n v="20"/>
    <n v="35.51"/>
    <n v="-710.19999999999993"/>
    <n v="38.464999999999996"/>
    <n v="44.15"/>
    <n v="227.40000000000009"/>
    <s v=""/>
  </r>
  <r>
    <x v="5"/>
    <x v="51"/>
    <n v="20"/>
    <n v="41.42"/>
    <n v="-828.40000000000009"/>
    <n v="38.464999999999996"/>
    <n v="44.15"/>
    <n v="227.40000000000009"/>
    <s v=""/>
  </r>
  <r>
    <x v="84"/>
    <x v="52"/>
    <n v="60"/>
    <n v="16.600000000000001"/>
    <n v="-996.00000000000011"/>
    <n v="17.355428571428572"/>
    <n v="19.21"/>
    <n v="649.10000000000014"/>
    <s v=""/>
  </r>
  <r>
    <x v="85"/>
    <x v="52"/>
    <n v="50"/>
    <n v="17"/>
    <n v="-850"/>
    <n v="17.355428571428572"/>
    <n v="19.21"/>
    <n v="649.10000000000014"/>
    <s v=""/>
  </r>
  <r>
    <x v="85"/>
    <x v="52"/>
    <n v="10"/>
    <n v="16.98"/>
    <n v="-169.8"/>
    <n v="17.355428571428572"/>
    <n v="19.21"/>
    <n v="649.10000000000014"/>
    <s v=""/>
  </r>
  <r>
    <x v="62"/>
    <x v="52"/>
    <n v="50"/>
    <n v="21.1"/>
    <n v="-1055"/>
    <n v="17.355428571428572"/>
    <n v="19.21"/>
    <n v="649.10000000000014"/>
    <s v=""/>
  </r>
  <r>
    <x v="86"/>
    <x v="52"/>
    <n v="60"/>
    <n v="17"/>
    <n v="-1020"/>
    <n v="17.355428571428572"/>
    <n v="19.21"/>
    <n v="649.10000000000014"/>
    <s v=""/>
  </r>
  <r>
    <x v="31"/>
    <x v="52"/>
    <n v="60"/>
    <n v="16.72"/>
    <n v="-1003.1999999999999"/>
    <n v="17.355428571428572"/>
    <n v="19.21"/>
    <n v="649.10000000000014"/>
    <s v=""/>
  </r>
  <r>
    <x v="4"/>
    <x v="52"/>
    <n v="60"/>
    <n v="16.34"/>
    <n v="-980.4"/>
    <n v="17.355428571428572"/>
    <n v="19.21"/>
    <n v="649.10000000000014"/>
    <s v=""/>
  </r>
  <r>
    <x v="24"/>
    <x v="53"/>
    <n v="10"/>
    <n v="95.03"/>
    <n v="-950.3"/>
    <n v="95.03"/>
    <n v="85.9"/>
    <n v="-91.299999999999955"/>
    <s v=""/>
  </r>
  <r>
    <x v="24"/>
    <x v="54"/>
    <n v="10"/>
    <n v="66.14"/>
    <n v="-661.4"/>
    <n v="65.206666666666678"/>
    <n v="60.38"/>
    <n v="-144.80000000000024"/>
    <s v=""/>
  </r>
  <r>
    <x v="87"/>
    <x v="54"/>
    <n v="10"/>
    <n v="64"/>
    <n v="-640"/>
    <n v="65.206666666666678"/>
    <n v="60.38"/>
    <n v="-144.80000000000024"/>
    <s v=""/>
  </r>
  <r>
    <x v="88"/>
    <x v="54"/>
    <n v="10"/>
    <n v="65.48"/>
    <n v="-654.80000000000007"/>
    <n v="65.206666666666678"/>
    <n v="60.38"/>
    <n v="-144.80000000000024"/>
    <s v=""/>
  </r>
  <r>
    <x v="26"/>
    <x v="55"/>
    <n v="130"/>
    <n v="6.85"/>
    <n v="-890.5"/>
    <n v="6.85"/>
    <n v="6.32"/>
    <n v="-74.199999999999903"/>
    <s v=""/>
  </r>
  <r>
    <x v="26"/>
    <x v="55"/>
    <n v="10"/>
    <n v="6.85"/>
    <n v="-68.5"/>
    <n v="6.85"/>
    <n v="6.32"/>
    <n v="-74.199999999999903"/>
    <s v=""/>
  </r>
  <r>
    <x v="89"/>
    <x v="56"/>
    <n v="10"/>
    <n v="58"/>
    <n v="-580"/>
    <n v="58"/>
    <n v="64.48"/>
    <n v="64.80000000000004"/>
    <s v=""/>
  </r>
  <r>
    <x v="90"/>
    <x v="57"/>
    <n v="10"/>
    <n v="59"/>
    <n v="-590"/>
    <n v="59"/>
    <n v="62.3"/>
    <n v="32.999999999999972"/>
    <s v=""/>
  </r>
  <r>
    <x v="36"/>
    <x v="58"/>
    <n v="30"/>
    <n v="32.25"/>
    <n v="-967.5"/>
    <n v="32.885000000000005"/>
    <n v="28.805"/>
    <n v="-244.80000000000032"/>
    <s v=""/>
  </r>
  <r>
    <x v="91"/>
    <x v="58"/>
    <n v="30"/>
    <n v="33.520000000000003"/>
    <n v="-1005.6000000000001"/>
    <n v="32.885000000000005"/>
    <n v="28.805"/>
    <n v="-244.80000000000032"/>
    <s v=""/>
  </r>
  <r>
    <x v="25"/>
    <x v="59"/>
    <n v="70"/>
    <n v="13.9"/>
    <n v="-973"/>
    <n v="14.765263157894738"/>
    <n v="18.715"/>
    <n v="750.4499999999997"/>
    <s v=""/>
  </r>
  <r>
    <x v="92"/>
    <x v="59"/>
    <n v="60"/>
    <n v="15.05"/>
    <n v="-903"/>
    <n v="14.765263157894738"/>
    <n v="18.715"/>
    <n v="750.4499999999997"/>
    <s v=""/>
  </r>
  <r>
    <x v="35"/>
    <x v="59"/>
    <n v="60"/>
    <n v="15.49"/>
    <n v="-929.4"/>
    <n v="14.765263157894738"/>
    <n v="18.715"/>
    <n v="750.4499999999997"/>
    <s v=""/>
  </r>
  <r>
    <x v="93"/>
    <x v="60"/>
    <n v="350"/>
    <n v="2.75"/>
    <n v="-962.5"/>
    <n v="2.7845233644859815"/>
    <n v="2.6949999999999998"/>
    <n v="-95.790000000000347"/>
    <s v=""/>
  </r>
  <r>
    <x v="35"/>
    <x v="60"/>
    <n v="370"/>
    <n v="2.7"/>
    <n v="-999.00000000000011"/>
    <n v="2.7845233644859815"/>
    <n v="2.6949999999999998"/>
    <n v="-95.790000000000347"/>
    <s v=""/>
  </r>
  <r>
    <x v="94"/>
    <x v="60"/>
    <n v="350"/>
    <n v="2.9083999999999999"/>
    <n v="-1017.9399999999999"/>
    <n v="2.7845233644859815"/>
    <n v="2.6949999999999998"/>
    <n v="-95.790000000000347"/>
    <s v=""/>
  </r>
  <r>
    <x v="95"/>
    <x v="61"/>
    <n v="40"/>
    <n v="7.21"/>
    <n v="-288.39999999999998"/>
    <n v="10.763461538461538"/>
    <n v="7.2"/>
    <n v="-926.49999999999977"/>
    <s v=""/>
  </r>
  <r>
    <x v="24"/>
    <x v="61"/>
    <n v="60"/>
    <n v="15"/>
    <n v="-900"/>
    <n v="10.763461538461538"/>
    <n v="7.2"/>
    <n v="-926.49999999999977"/>
    <s v=""/>
  </r>
  <r>
    <x v="35"/>
    <x v="61"/>
    <n v="70"/>
    <n v="13.74"/>
    <n v="-961.80000000000007"/>
    <n v="10.763461538461538"/>
    <n v="7.2"/>
    <n v="-926.49999999999977"/>
    <s v=""/>
  </r>
  <r>
    <x v="96"/>
    <x v="61"/>
    <n v="10"/>
    <n v="7.15"/>
    <n v="-71.5"/>
    <n v="10.763461538461538"/>
    <n v="7.2"/>
    <n v="-926.49999999999977"/>
    <s v=""/>
  </r>
  <r>
    <x v="97"/>
    <x v="61"/>
    <n v="80"/>
    <n v="7.21"/>
    <n v="-576.79999999999995"/>
    <n v="10.763461538461538"/>
    <n v="7.2"/>
    <n v="-926.49999999999977"/>
    <s v=""/>
  </r>
  <r>
    <x v="98"/>
    <x v="62"/>
    <n v="200"/>
    <n v="4"/>
    <n v="-800"/>
    <n v="4"/>
    <n v="6.9649999999999999"/>
    <n v="593"/>
    <s v=""/>
  </r>
  <r>
    <x v="99"/>
    <x v="63"/>
    <n v="150"/>
    <n v="6.3"/>
    <n v="-945"/>
    <n v="7.5"/>
    <n v="4.59"/>
    <n v="-87.300000000000011"/>
    <s v=""/>
  </r>
  <r>
    <x v="100"/>
    <x v="63"/>
    <n v="-120"/>
    <n v="6"/>
    <n v="720"/>
    <n v="7.5"/>
    <n v="4.59"/>
    <n v="-87.300000000000011"/>
    <s v=""/>
  </r>
  <r>
    <x v="5"/>
    <x v="64"/>
    <n v="20"/>
    <n v="43.19"/>
    <n v="-863.8"/>
    <n v="43.605000000000004"/>
    <n v="47.95"/>
    <n v="173.79999999999995"/>
    <s v=""/>
  </r>
  <r>
    <x v="62"/>
    <x v="64"/>
    <n v="20"/>
    <n v="44.02"/>
    <n v="-880.40000000000009"/>
    <n v="43.605000000000004"/>
    <n v="47.95"/>
    <n v="173.79999999999995"/>
    <s v=""/>
  </r>
  <r>
    <x v="25"/>
    <x v="65"/>
    <n v="10"/>
    <n v="80.989999999999995"/>
    <n v="-809.9"/>
    <n v="79.373333333333321"/>
    <n v="79.72"/>
    <n v="10.400000000000347"/>
    <s v=""/>
  </r>
  <r>
    <x v="28"/>
    <x v="65"/>
    <n v="10"/>
    <n v="77.099999999999994"/>
    <n v="-771"/>
    <n v="79.373333333333321"/>
    <n v="79.72"/>
    <n v="10.400000000000347"/>
    <s v=""/>
  </r>
  <r>
    <x v="24"/>
    <x v="65"/>
    <n v="10"/>
    <n v="80.03"/>
    <n v="-800.3"/>
    <n v="79.373333333333321"/>
    <n v="79.72"/>
    <n v="10.400000000000347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4FDB7-0DBE-4C4C-81C8-15611FD25D71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6" firstHeaderRow="0" firstDataRow="1" firstDataCol="1"/>
  <pivotFields count="6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de Count" fld="3" subtotal="count" baseField="2" baseItem="0"/>
    <dataField name="Stock Count" fld="4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Total Cost &amp; Gain" fld="5" baseField="2" baseItem="0" numFmtId="166"/>
  </dataFields>
  <formats count="1">
    <format dxfId="18">
      <pivotArea dataOnly="0" outline="0" fieldPosition="0">
        <references count="1">
          <reference field="4294967294" count="1">
            <x v="2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rade Count"/>
    <pivotHierarchy dragToData="1" caption="Stock Count"/>
    <pivotHierarchy dragToData="1" caption="Total Cost &amp; Gain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port.xlsx!undervalued_trades">
        <x15:activeTabTopLevelEntity name="[undervalued_tr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A6FFD-C673-4A73-9B58-D262321D50BC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mergeItem="1" createdVersion="8" indent="0" outline="1" outlineData="1" fieldListSortAscending="1">
  <location ref="A3:F69" firstHeaderRow="0" firstDataRow="1" firstDataCol="1"/>
  <pivotFields count="11">
    <pivotField axis="axisRow" numFmtId="22" showAll="0">
      <items count="114">
        <item x="99"/>
        <item x="95"/>
        <item x="96"/>
        <item x="97"/>
        <item x="17"/>
        <item x="53"/>
        <item x="81"/>
        <item x="7"/>
        <item x="43"/>
        <item x="48"/>
        <item m="1" x="111"/>
        <item x="69"/>
        <item x="16"/>
        <item x="56"/>
        <item x="57"/>
        <item x="59"/>
        <item x="58"/>
        <item x="55"/>
        <item x="13"/>
        <item x="98"/>
        <item m="1" x="101"/>
        <item x="70"/>
        <item x="14"/>
        <item x="20"/>
        <item x="42"/>
        <item m="1" x="102"/>
        <item m="1" x="103"/>
        <item m="1" x="106"/>
        <item x="47"/>
        <item x="30"/>
        <item x="64"/>
        <item x="23"/>
        <item x="41"/>
        <item x="74"/>
        <item x="52"/>
        <item x="49"/>
        <item x="27"/>
        <item x="21"/>
        <item x="78"/>
        <item x="11"/>
        <item x="39"/>
        <item m="1" x="104"/>
        <item x="85"/>
        <item x="32"/>
        <item x="66"/>
        <item x="89"/>
        <item x="29"/>
        <item x="37"/>
        <item x="63"/>
        <item x="79"/>
        <item x="8"/>
        <item x="2"/>
        <item x="22"/>
        <item x="90"/>
        <item x="83"/>
        <item x="54"/>
        <item x="15"/>
        <item x="19"/>
        <item x="67"/>
        <item x="94"/>
        <item x="10"/>
        <item x="38"/>
        <item x="1"/>
        <item x="44"/>
        <item x="6"/>
        <item x="77"/>
        <item x="65"/>
        <item x="84"/>
        <item x="25"/>
        <item x="71"/>
        <item x="31"/>
        <item x="75"/>
        <item x="34"/>
        <item x="73"/>
        <item x="68"/>
        <item x="76"/>
        <item x="0"/>
        <item m="1" x="112"/>
        <item x="45"/>
        <item x="50"/>
        <item m="1" x="105"/>
        <item x="51"/>
        <item x="33"/>
        <item x="28"/>
        <item x="86"/>
        <item x="12"/>
        <item x="92"/>
        <item x="80"/>
        <item x="46"/>
        <item x="87"/>
        <item x="82"/>
        <item x="100"/>
        <item x="4"/>
        <item x="35"/>
        <item x="26"/>
        <item x="3"/>
        <item x="9"/>
        <item x="40"/>
        <item x="62"/>
        <item x="24"/>
        <item x="93"/>
        <item x="72"/>
        <item x="91"/>
        <item x="18"/>
        <item m="1" x="110"/>
        <item m="1" x="108"/>
        <item x="61"/>
        <item x="36"/>
        <item x="5"/>
        <item x="88"/>
        <item m="1" x="109"/>
        <item m="1" x="107"/>
        <item x="60"/>
        <item t="default"/>
      </items>
    </pivotField>
    <pivotField axis="axisRow" showAll="0">
      <items count="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m="1" x="66"/>
        <item sd="0" x="35"/>
        <item t="default" sd="0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"/>
    <field x="10"/>
    <field x="9"/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Qty" fld="2" baseField="0" baseItem="0"/>
    <dataField name="Max Price" fld="3" subtotal="max" baseField="1" baseItem="25" numFmtId="2"/>
    <dataField name="Total Cost &amp; Gain" fld="4" baseField="0" baseItem="0"/>
    <dataField name="Average Price" fld="5" subtotal="max" baseField="1" baseItem="0" numFmtId="2"/>
    <dataField name="Realized  PL" fld="8" subtotal="max" baseField="1" baseItem="6"/>
  </dataFields>
  <formats count="12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1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">
      <pivotArea outline="0" fieldPosition="0">
        <references count="1">
          <reference field="4294967294" count="1">
            <x v="3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3">
            <x v="0"/>
            <x v="3"/>
            <x v="4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3">
            <x v="0"/>
            <x v="3"/>
            <x v="4"/>
          </reference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E451418-18DA-40DF-A4C8-BA3E3371C0E0}" autoFormatId="16" applyNumberFormats="0" applyBorderFormats="0" applyFontFormats="0" applyPatternFormats="0" applyAlignmentFormats="0" applyWidthHeightFormats="0">
  <queryTableRefresh nextId="28" unboundColumnsRight="4">
    <queryTableFields count="9">
      <queryTableField id="7" name="Exec Time" tableColumnId="7"/>
      <queryTableField id="8" name="Symbol" tableColumnId="8"/>
      <queryTableField id="9" name="Qty" tableColumnId="9"/>
      <queryTableField id="10" name="Price" tableColumnId="10"/>
      <queryTableField id="27" name="Cost &amp; Gain" tableColumnId="1"/>
      <queryTableField id="22" dataBound="0" tableColumnId="3"/>
      <queryTableField id="23" dataBound="0" tableColumnId="4"/>
      <queryTableField id="24" dataBound="0" tableColumnId="5"/>
      <queryTableField id="25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3957E7-4989-4AF7-81E6-17B5BC005955}" autoFormatId="16" applyNumberFormats="0" applyBorderFormats="0" applyFontFormats="0" applyPatternFormats="0" applyAlignmentFormats="0" applyWidthHeightFormats="0">
  <queryTableRefresh nextId="7">
    <queryTableFields count="4">
      <queryTableField id="4" name="Label" tableColumnId="4"/>
      <queryTableField id="1" name="Symbol" tableColumnId="1"/>
      <queryTableField id="3" name="Weight" tableColumnId="3"/>
      <queryTableField id="2" name="Open P&amp;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4C7044-7A60-45DB-AF21-6AD109AD9655}" autoFormatId="16" applyNumberFormats="0" applyBorderFormats="0" applyFontFormats="0" applyPatternFormats="0" applyAlignmentFormats="0" applyWidthHeightFormats="0">
  <queryTableRefresh nextId="9" unboundColumnsRight="5">
    <queryTableFields count="8">
      <queryTableField id="1" name="Symbol" tableColumnId="1"/>
      <queryTableField id="2" name="Total Qty" tableColumnId="2"/>
      <queryTableField id="3" name="Total C&amp;G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61A1E-D82C-478D-9A60-C86C849BC9B3}" name="DynamicPath" displayName="DynamicPath" ref="A1:A2" totalsRowShown="0">
  <autoFilter ref="A1:A2" xr:uid="{34261A1E-D82C-478D-9A60-C86C849BC9B3}"/>
  <tableColumns count="1">
    <tableColumn id="1" xr3:uid="{FB685C1D-A835-4ADB-B435-E2D2621482D0}" name="Path">
      <calculatedColumnFormula array="1">LEFT(CELL("filename"),SEARCH("\[",CELL("filename")))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F2650-87C8-46A1-9368-DA40978948DC}" name="undervalued_trades" displayName="undervalued_trades" ref="A1:I136" tableType="queryTable" totalsRowShown="0">
  <autoFilter ref="A1:I136" xr:uid="{113F2650-87C8-46A1-9368-DA40978948DC}"/>
  <sortState xmlns:xlrd2="http://schemas.microsoft.com/office/spreadsheetml/2017/richdata2" ref="A2:I136">
    <sortCondition ref="B1:B136"/>
  </sortState>
  <tableColumns count="9">
    <tableColumn id="7" xr3:uid="{23B1B625-E096-48FF-8012-0F592367D55B}" uniqueName="7" name="Exec Time" queryTableFieldId="7" dataDxfId="10"/>
    <tableColumn id="8" xr3:uid="{73811826-3DC1-44C8-8519-00D40F3712BA}" uniqueName="8" name="Symbol" queryTableFieldId="8" dataDxfId="32"/>
    <tableColumn id="9" xr3:uid="{4A146287-63FD-499D-8DEC-C7EB3F01E1E0}" uniqueName="9" name="Qty" queryTableFieldId="9"/>
    <tableColumn id="10" xr3:uid="{709C901A-4A7A-4ED6-9EB9-E431EC0E1806}" uniqueName="10" name="Price" queryTableFieldId="10"/>
    <tableColumn id="1" xr3:uid="{795C3E98-E6C2-4D6A-B377-365750CDD3B9}" uniqueName="1" name="Cost &amp; Gain" queryTableFieldId="27"/>
    <tableColumn id="3" xr3:uid="{AA6A45B0-A721-4CC5-9117-FF68EA34049A}" uniqueName="3" name="Avg Price" queryTableFieldId="22" dataDxfId="9">
      <calculatedColumnFormula>IFERROR(-SUMIF(undervalued_trades[Symbol],undervalued_trades[[#This Row],[Symbol]],undervalued_trades[Cost &amp; Gain])/SUMIF(undervalued_trades[Symbol],undervalued_trades[[#This Row],[Symbol]],undervalued_trades[Qty]),"")</calculatedColumnFormula>
    </tableColumn>
    <tableColumn id="4" xr3:uid="{35873AE0-4F14-4264-A3D9-FDFD128E0F7A}" uniqueName="4" name="Current Price" queryTableFieldId="23" dataDxfId="8">
      <calculatedColumnFormula>RTD("tos.rtd", , "LAST", undervalued_trades[[#This Row],[Symbol]])</calculatedColumnFormula>
    </tableColumn>
    <tableColumn id="5" xr3:uid="{FB396E8C-431D-4083-B1E0-84ECB24AA57A}" uniqueName="5" name="Open P&amp;L" queryTableFieldId="24" dataDxfId="7">
      <calculatedColumnFormula>IFERROR((undervalued_trades[[#This Row],[Current Price]]-undervalued_trades[[#This Row],[Avg Price]])*SUMIF(undervalued_trades[Symbol],undervalued_trades[[#This Row],[Symbol]],undervalued_trades[Qty]),"")</calculatedColumnFormula>
    </tableColumn>
    <tableColumn id="6" xr3:uid="{F7953519-1184-4A94-A5B4-3CDB60F25B72}" uniqueName="6" name="Realized  P&amp;L" queryTableFieldId="25" dataDxfId="6">
      <calculatedColumnFormula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D07CA9-4F4B-4A25-810E-1B00D8281B93}" name="value_weight_chart" displayName="value_weight_chart" ref="A1:D66" tableType="queryTable" totalsRowShown="0">
  <autoFilter ref="A1:D66" xr:uid="{6BD07CA9-4F4B-4A25-810E-1B00D8281B93}"/>
  <sortState xmlns:xlrd2="http://schemas.microsoft.com/office/spreadsheetml/2017/richdata2" ref="A2:D66">
    <sortCondition descending="1" ref="A1:A66"/>
  </sortState>
  <tableColumns count="4">
    <tableColumn id="4" xr3:uid="{4E5A8584-760F-4450-85CF-0886A446E440}" uniqueName="4" name="Label" queryTableFieldId="4" dataCellStyle="Percent"/>
    <tableColumn id="1" xr3:uid="{E7030DCB-F3FA-44CF-B44F-1860EA22FF9E}" uniqueName="1" name="Symbol" queryTableFieldId="1"/>
    <tableColumn id="3" xr3:uid="{FEE16A15-3EFB-44D4-A34C-BD3362D6C20F}" uniqueName="3" name="Weight" queryTableFieldId="3" dataDxfId="5" dataCellStyle="Percent"/>
    <tableColumn id="2" xr3:uid="{734FCD8F-9186-4B45-991E-5B70D1ABA03E}" uniqueName="2" name="Open P&amp;L" queryTableFieldId="2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4BB017-46DE-49B5-B7E3-02F6BBD39449}" name="undervalued_stocks" displayName="undervalued_stocks" ref="A4:H70" tableType="queryTable" totalsRowShown="0">
  <autoFilter ref="A4:H70" xr:uid="{034BB017-46DE-49B5-B7E3-02F6BBD39449}"/>
  <sortState xmlns:xlrd2="http://schemas.microsoft.com/office/spreadsheetml/2017/richdata2" ref="A5:H70">
    <sortCondition ref="A4:A70"/>
  </sortState>
  <tableColumns count="8">
    <tableColumn id="1" xr3:uid="{AE65660A-F1D5-48FF-928A-B9FADD24B842}" uniqueName="1" name="Symbol" queryTableFieldId="1" dataDxfId="4"/>
    <tableColumn id="2" xr3:uid="{1176198E-EA6E-4B4E-A77C-5B4BF4E3EF17}" uniqueName="2" name="Total Qty" queryTableFieldId="2"/>
    <tableColumn id="3" xr3:uid="{FF36AA2F-48ED-486C-8EB5-05BEC1F9E39E}" uniqueName="3" name="Total C&amp;G" queryTableFieldId="3" dataDxfId="3"/>
    <tableColumn id="4" xr3:uid="{E2E35C8D-CB57-44E6-BC60-7A869C857C9F}" uniqueName="4" name="Avg Price" queryTableFieldId="4" dataDxfId="2">
      <calculatedColumnFormula>IFERROR(-undervalued_stocks[[#This Row],[Total C&amp;G]]/undervalued_stocks[[#This Row],[Total Qty]],"")</calculatedColumnFormula>
    </tableColumn>
    <tableColumn id="5" xr3:uid="{528B08C6-E2D8-4F0A-A694-2836FF3A1106}" uniqueName="5" name="Current Price" queryTableFieldId="5">
      <calculatedColumnFormula>RTD("tos.rtd", , "LAST", undervalued_stocks[[#This Row],[Symbol]])</calculatedColumnFormula>
    </tableColumn>
    <tableColumn id="6" xr3:uid="{7420554B-307D-48E1-8E3F-1BF0D3309B35}" uniqueName="6" name="Open P&amp;L" queryTableFieldId="6" dataDxfId="1">
      <calculatedColumnFormula>IFERROR((undervalued_stocks[[#This Row],[Current Price]]-undervalued_stocks[[#This Row],[Avg Price]])*undervalued_stocks[[#This Row],[Total Qty]],"")</calculatedColumnFormula>
    </tableColumn>
    <tableColumn id="7" xr3:uid="{0B57D284-6FE5-4737-807C-C25682CAF9A3}" uniqueName="7" name="Realized P&amp;L" queryTableFieldId="7" dataDxfId="0">
      <calculatedColumnFormula>IF(undervalued_stocks[[#This Row],[Open P&amp;L]] = "", undervalued_stocks[[#This Row],[Total C&amp;G]], "")</calculatedColumnFormula>
    </tableColumn>
    <tableColumn id="8" xr3:uid="{617CA1DC-3490-43B3-9280-6539597E02B7}" uniqueName="8" name="Weight" queryTableFieldId="8" dataCellStyle="Percent">
      <calculatedColumnFormula>IFERROR((undervalued_stocks[[#This Row],[Total Qty]]*undervalued_stocks[[#This Row],[Avg Price]])/$F$2,0)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E26758-C9A0-4A71-B8AD-C7D12D9B9FEF}" name="monthly_pl8" displayName="monthly_pl8" ref="A1:C17" totalsRowCount="1" headerRowDxfId="17">
  <autoFilter ref="A1:C16" xr:uid="{460051CA-F394-47FA-AEB2-2E3959D693B6}"/>
  <tableColumns count="3">
    <tableColumn id="1" xr3:uid="{7FE19C1B-CD7F-45FD-BC8D-588D95703151}" name="Month" totalsRowLabel="Total" dataDxfId="16" totalsRowDxfId="15"/>
    <tableColumn id="2" xr3:uid="{90090ED8-B9C9-4FCC-8295-5982C9FCEBDB}" name="Gross P&amp;L" totalsRowFunction="sum" dataDxfId="14" totalsRowDxfId="13">
      <calculatedColumnFormula>SUMIFS(undervalued_trades[Realized  P&amp;L], undervalued_trades[Exec Time], "&gt;="&amp;monthly_pl8[[#This Row],[Month]], undervalued_trades[Exec Time], "&lt;="&amp;EOMONTH(monthly_pl8[[#This Row],[Month]],0), undervalued_trades[Open P&amp;L], "")</calculatedColumnFormula>
    </tableColumn>
    <tableColumn id="3" xr3:uid="{3A523357-5EEA-4A29-B3E3-1A37C5BD3F85}" name="Cumulative P&amp;L" dataDxfId="12" totalsRowDxfId="11">
      <calculatedColumnFormula>SUM($B$2:monthly_pl8[[#This Row],[Gross P&amp;L]])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7F7F7F"/>
      </a:accent4>
      <a:accent5>
        <a:srgbClr val="C00000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6A0E-EE94-4F00-843D-430F43EF17C9}">
  <dimension ref="A1:A2"/>
  <sheetViews>
    <sheetView workbookViewId="0">
      <selection activeCell="A2" sqref="A2"/>
    </sheetView>
  </sheetViews>
  <sheetFormatPr defaultRowHeight="15" x14ac:dyDescent="0.25"/>
  <cols>
    <col min="1" max="1" width="45" bestFit="1" customWidth="1"/>
  </cols>
  <sheetData>
    <row r="1" spans="1:1" x14ac:dyDescent="0.25">
      <c r="A1" t="s">
        <v>0</v>
      </c>
    </row>
    <row r="2" spans="1:1" x14ac:dyDescent="0.25">
      <c r="A2" t="str" cm="1">
        <f t="array" aca="1" ref="A2" ca="1">LEFT(CELL("filename"),SEARCH("\[",CELL("filename")))</f>
        <v>D:\PROJECTS\Undervalued Stock Trade Tracking_Masked\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0528-241F-4734-87EA-F3F984ACABD2}">
  <dimension ref="A1:I136"/>
  <sheetViews>
    <sheetView workbookViewId="0">
      <pane ySplit="1" topLeftCell="A2" activePane="bottomLeft" state="frozen"/>
      <selection pane="bottomLeft" activeCell="A2" sqref="A2:I140"/>
    </sheetView>
  </sheetViews>
  <sheetFormatPr defaultRowHeight="15" x14ac:dyDescent="0.25"/>
  <cols>
    <col min="1" max="1" width="15.5703125" bestFit="1" customWidth="1"/>
    <col min="2" max="2" width="10" bestFit="1" customWidth="1"/>
    <col min="3" max="3" width="6.42578125" bestFit="1" customWidth="1"/>
    <col min="4" max="4" width="8" bestFit="1" customWidth="1"/>
    <col min="5" max="5" width="13.85546875" bestFit="1" customWidth="1"/>
    <col min="6" max="6" width="11.42578125" bestFit="1" customWidth="1"/>
    <col min="7" max="7" width="15.42578125" bestFit="1" customWidth="1"/>
    <col min="8" max="8" width="12" bestFit="1" customWidth="1"/>
    <col min="9" max="10" width="15.42578125" bestFit="1" customWidth="1"/>
    <col min="11" max="12" width="14.85546875" bestFit="1" customWidth="1"/>
    <col min="13" max="13" width="16.140625" bestFit="1" customWidth="1"/>
    <col min="14" max="18" width="11.42578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84</v>
      </c>
      <c r="F1" t="s">
        <v>71</v>
      </c>
      <c r="G1" t="s">
        <v>73</v>
      </c>
      <c r="H1" t="s">
        <v>74</v>
      </c>
      <c r="I1" t="s">
        <v>75</v>
      </c>
    </row>
    <row r="2" spans="1:9" x14ac:dyDescent="0.25">
      <c r="A2" s="1">
        <v>45810.511423611111</v>
      </c>
      <c r="B2" t="s">
        <v>39</v>
      </c>
      <c r="C2">
        <v>410</v>
      </c>
      <c r="D2">
        <v>2.44</v>
      </c>
      <c r="E2">
        <v>-1000.4</v>
      </c>
      <c r="F2" s="2">
        <f>IFERROR(-SUMIF(undervalued_trades[Symbol],undervalued_trades[[#This Row],[Symbol]],undervalued_trades[Cost &amp; Gain])/SUMIF(undervalued_trades[Symbol],undervalued_trades[[#This Row],[Symbol]],undervalued_trades[Qty]),"")</f>
        <v>2.398963855421687</v>
      </c>
      <c r="G2" s="2">
        <f>RTD("tos.rtd", , "LAST", undervalued_trades[[#This Row],[Symbol]])</f>
        <v>2.5099999999999998</v>
      </c>
      <c r="H2" s="2">
        <f>IFERROR((undervalued_trades[[#This Row],[Current Price]]-undervalued_trades[[#This Row],[Avg Price]])*SUMIF(undervalued_trades[Symbol],undervalued_trades[[#This Row],[Symbol]],undervalued_trades[Qty]),"")</f>
        <v>184.31999999999923</v>
      </c>
      <c r="I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" spans="1:9" x14ac:dyDescent="0.25">
      <c r="A3" s="1">
        <v>45806.430648148147</v>
      </c>
      <c r="B3" t="s">
        <v>39</v>
      </c>
      <c r="C3">
        <v>400</v>
      </c>
      <c r="D3">
        <v>2.4897</v>
      </c>
      <c r="E3">
        <v>-995.88</v>
      </c>
      <c r="F3" s="2">
        <f>IFERROR(-SUMIF(undervalued_trades[Symbol],undervalued_trades[[#This Row],[Symbol]],undervalued_trades[Cost &amp; Gain])/SUMIF(undervalued_trades[Symbol],undervalued_trades[[#This Row],[Symbol]],undervalued_trades[Qty]),"")</f>
        <v>2.398963855421687</v>
      </c>
      <c r="G3" s="2">
        <f>RTD("tos.rtd", , "LAST", undervalued_trades[[#This Row],[Symbol]])</f>
        <v>2.5099999999999998</v>
      </c>
      <c r="H3" s="2">
        <f>IFERROR((undervalued_trades[[#This Row],[Current Price]]-undervalued_trades[[#This Row],[Avg Price]])*SUMIF(undervalued_trades[Symbol],undervalued_trades[[#This Row],[Symbol]],undervalued_trades[Qty]),"")</f>
        <v>184.31999999999923</v>
      </c>
      <c r="I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" spans="1:9" x14ac:dyDescent="0.25">
      <c r="A4" s="1">
        <v>45782.395833333336</v>
      </c>
      <c r="B4" t="s">
        <v>39</v>
      </c>
      <c r="C4">
        <v>400</v>
      </c>
      <c r="D4">
        <v>2.4900000000000002</v>
      </c>
      <c r="E4">
        <v>-996.00000000000011</v>
      </c>
      <c r="F4" s="2">
        <f>IFERROR(-SUMIF(undervalued_trades[Symbol],undervalued_trades[[#This Row],[Symbol]],undervalued_trades[Cost &amp; Gain])/SUMIF(undervalued_trades[Symbol],undervalued_trades[[#This Row],[Symbol]],undervalued_trades[Qty]),"")</f>
        <v>2.398963855421687</v>
      </c>
      <c r="G4" s="2">
        <f>RTD("tos.rtd", , "LAST", undervalued_trades[[#This Row],[Symbol]])</f>
        <v>2.5099999999999998</v>
      </c>
      <c r="H4" s="2">
        <f>IFERROR((undervalued_trades[[#This Row],[Current Price]]-undervalued_trades[[#This Row],[Avg Price]])*SUMIF(undervalued_trades[Symbol],undervalued_trades[[#This Row],[Symbol]],undervalued_trades[Qty]),"")</f>
        <v>184.31999999999923</v>
      </c>
      <c r="I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" spans="1:9" x14ac:dyDescent="0.25">
      <c r="A5" s="1">
        <v>45874.395891203705</v>
      </c>
      <c r="B5" t="s">
        <v>39</v>
      </c>
      <c r="C5">
        <v>450</v>
      </c>
      <c r="D5">
        <v>2.2000000000000002</v>
      </c>
      <c r="E5">
        <v>-990.00000000000011</v>
      </c>
      <c r="F5" s="2">
        <f>IFERROR(-SUMIF(undervalued_trades[Symbol],undervalued_trades[[#This Row],[Symbol]],undervalued_trades[Cost &amp; Gain])/SUMIF(undervalued_trades[Symbol],undervalued_trades[[#This Row],[Symbol]],undervalued_trades[Qty]),"")</f>
        <v>2.398963855421687</v>
      </c>
      <c r="G5" s="2">
        <f>RTD("tos.rtd", , "LAST", undervalued_trades[[#This Row],[Symbol]])</f>
        <v>2.5099999999999998</v>
      </c>
      <c r="H5" s="2">
        <f>IFERROR((undervalued_trades[[#This Row],[Current Price]]-undervalued_trades[[#This Row],[Avg Price]])*SUMIF(undervalued_trades[Symbol],undervalued_trades[[#This Row],[Symbol]],undervalued_trades[Qty]),"")</f>
        <v>184.31999999999923</v>
      </c>
      <c r="I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" spans="1:9" x14ac:dyDescent="0.25">
      <c r="A6" s="1">
        <v>45874.395833333336</v>
      </c>
      <c r="B6" t="s">
        <v>60</v>
      </c>
      <c r="C6">
        <v>10</v>
      </c>
      <c r="D6">
        <v>80</v>
      </c>
      <c r="E6">
        <v>-800</v>
      </c>
      <c r="F6" s="2">
        <f>IFERROR(-SUMIF(undervalued_trades[Symbol],undervalued_trades[[#This Row],[Symbol]],undervalued_trades[Cost &amp; Gain])/SUMIF(undervalued_trades[Symbol],undervalued_trades[[#This Row],[Symbol]],undervalued_trades[Qty]),"")</f>
        <v>80</v>
      </c>
      <c r="G6" s="2">
        <f>RTD("tos.rtd", , "LAST", undervalued_trades[[#This Row],[Symbol]])</f>
        <v>78.77</v>
      </c>
      <c r="H6" s="2">
        <f>IFERROR((undervalued_trades[[#This Row],[Current Price]]-undervalued_trades[[#This Row],[Avg Price]])*SUMIF(undervalued_trades[Symbol],undervalued_trades[[#This Row],[Symbol]],undervalued_trades[Qty]),"")</f>
        <v>-12.30000000000004</v>
      </c>
      <c r="I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" spans="1:9" x14ac:dyDescent="0.25">
      <c r="A7" s="1">
        <v>45937.395856481482</v>
      </c>
      <c r="B7" t="s">
        <v>69</v>
      </c>
      <c r="C7">
        <v>10</v>
      </c>
      <c r="D7">
        <v>249.13</v>
      </c>
      <c r="E7">
        <v>-2491.3000000000002</v>
      </c>
      <c r="F7" s="2">
        <f>IFERROR(-SUMIF(undervalued_trades[Symbol],undervalued_trades[[#This Row],[Symbol]],undervalued_trades[Cost &amp; Gain])/SUMIF(undervalued_trades[Symbol],undervalued_trades[[#This Row],[Symbol]],undervalued_trades[Qty]),"")</f>
        <v>249.13000000000002</v>
      </c>
      <c r="G7" s="2">
        <f>RTD("tos.rtd", , "LAST", undervalued_trades[[#This Row],[Symbol]])</f>
        <v>248.18</v>
      </c>
      <c r="H7" s="2">
        <f>IFERROR((undervalued_trades[[#This Row],[Current Price]]-undervalued_trades[[#This Row],[Avg Price]])*SUMIF(undervalued_trades[Symbol],undervalued_trades[[#This Row],[Symbol]],undervalued_trades[Qty]),"")</f>
        <v>-9.5000000000001705</v>
      </c>
      <c r="I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" spans="1:9" x14ac:dyDescent="0.25">
      <c r="A8" s="1">
        <v>45806.672719907408</v>
      </c>
      <c r="B8" t="s">
        <v>48</v>
      </c>
      <c r="C8">
        <v>100</v>
      </c>
      <c r="D8">
        <v>10.42</v>
      </c>
      <c r="E8">
        <v>-1042</v>
      </c>
      <c r="F8" s="2">
        <f>IFERROR(-SUMIF(undervalued_trades[Symbol],undervalued_trades[[#This Row],[Symbol]],undervalued_trades[Cost &amp; Gain])/SUMIF(undervalued_trades[Symbol],undervalued_trades[[#This Row],[Symbol]],undervalued_trades[Qty]),"")</f>
        <v>10.42</v>
      </c>
      <c r="G8" s="2">
        <f>RTD("tos.rtd", , "LAST", undervalued_trades[[#This Row],[Symbol]])</f>
        <v>19.07</v>
      </c>
      <c r="H8" s="2">
        <f>IFERROR((undervalued_trades[[#This Row],[Current Price]]-undervalued_trades[[#This Row],[Avg Price]])*SUMIF(undervalued_trades[Symbol],undervalued_trades[[#This Row],[Symbol]],undervalued_trades[Qty]),"")</f>
        <v>865</v>
      </c>
      <c r="I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" spans="1:9" x14ac:dyDescent="0.25">
      <c r="A9" s="1">
        <v>45594.434918981482</v>
      </c>
      <c r="B9" t="s">
        <v>10</v>
      </c>
      <c r="C9">
        <v>750</v>
      </c>
      <c r="D9">
        <v>1.33</v>
      </c>
      <c r="E9">
        <v>-997.5</v>
      </c>
      <c r="F9" s="2">
        <f>IFERROR(-SUMIF(undervalued_trades[Symbol],undervalued_trades[[#This Row],[Symbol]],undervalued_trades[Cost &amp; Gain])/SUMIF(undervalued_trades[Symbol],undervalued_trades[[#This Row],[Symbol]],undervalued_trades[Qty]),"")</f>
        <v>1.33</v>
      </c>
      <c r="G9" s="2">
        <f>RTD("tos.rtd", , "LAST", undervalued_trades[[#This Row],[Symbol]])</f>
        <v>0.96868299999999996</v>
      </c>
      <c r="H9" s="2">
        <f>IFERROR((undervalued_trades[[#This Row],[Current Price]]-undervalued_trades[[#This Row],[Avg Price]])*SUMIF(undervalued_trades[Symbol],undervalued_trades[[#This Row],[Symbol]],undervalued_trades[Qty]),"")</f>
        <v>-270.98775000000006</v>
      </c>
      <c r="I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" spans="1:9" x14ac:dyDescent="0.25">
      <c r="A10" s="1">
        <v>45782.291747685187</v>
      </c>
      <c r="B10" t="s">
        <v>38</v>
      </c>
      <c r="C10">
        <v>20</v>
      </c>
      <c r="D10">
        <v>38.950000000000003</v>
      </c>
      <c r="E10">
        <v>-779</v>
      </c>
      <c r="F10" s="2">
        <f>IFERROR(-SUMIF(undervalued_trades[Symbol],undervalued_trades[[#This Row],[Symbol]],undervalued_trades[Cost &amp; Gain])/SUMIF(undervalued_trades[Symbol],undervalued_trades[[#This Row],[Symbol]],undervalued_trades[Qty]),"")</f>
        <v>38.950000000000003</v>
      </c>
      <c r="G10" s="2">
        <f>RTD("tos.rtd", , "LAST", undervalued_trades[[#This Row],[Symbol]])</f>
        <v>45.034999999999997</v>
      </c>
      <c r="H10" s="2">
        <f>IFERROR((undervalued_trades[[#This Row],[Current Price]]-undervalued_trades[[#This Row],[Avg Price]])*SUMIF(undervalued_trades[Symbol],undervalued_trades[[#This Row],[Symbol]],undervalued_trades[Qty]),"")</f>
        <v>121.69999999999987</v>
      </c>
      <c r="I1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" spans="1:9" x14ac:dyDescent="0.25">
      <c r="A11" s="1">
        <v>45874.39607638889</v>
      </c>
      <c r="B11" t="s">
        <v>28</v>
      </c>
      <c r="C11">
        <v>10</v>
      </c>
      <c r="D11">
        <v>70</v>
      </c>
      <c r="E11">
        <v>-700</v>
      </c>
      <c r="F11" s="2">
        <f>IFERROR(-SUMIF(undervalued_trades[Symbol],undervalued_trades[[#This Row],[Symbol]],undervalued_trades[Cost &amp; Gain])/SUMIF(undervalued_trades[Symbol],undervalued_trades[[#This Row],[Symbol]],undervalued_trades[Qty]),"")</f>
        <v>61.995000000000005</v>
      </c>
      <c r="G11" s="2">
        <f>RTD("tos.rtd", , "LAST", undervalued_trades[[#This Row],[Symbol]])</f>
        <v>62.62</v>
      </c>
      <c r="H11" s="2">
        <f>IFERROR((undervalued_trades[[#This Row],[Current Price]]-undervalued_trades[[#This Row],[Avg Price]])*SUMIF(undervalued_trades[Symbol],undervalued_trades[[#This Row],[Symbol]],undervalued_trades[Qty]),"")</f>
        <v>24.999999999999716</v>
      </c>
      <c r="I1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" spans="1:9" x14ac:dyDescent="0.25">
      <c r="A12" s="1">
        <v>45806.423750000002</v>
      </c>
      <c r="B12" t="s">
        <v>28</v>
      </c>
      <c r="C12">
        <v>10</v>
      </c>
      <c r="D12">
        <v>65.98</v>
      </c>
      <c r="E12">
        <v>-659.80000000000007</v>
      </c>
      <c r="F12" s="2">
        <f>IFERROR(-SUMIF(undervalued_trades[Symbol],undervalued_trades[[#This Row],[Symbol]],undervalued_trades[Cost &amp; Gain])/SUMIF(undervalued_trades[Symbol],undervalued_trades[[#This Row],[Symbol]],undervalued_trades[Qty]),"")</f>
        <v>61.995000000000005</v>
      </c>
      <c r="G12" s="2">
        <f>RTD("tos.rtd", , "LAST", undervalued_trades[[#This Row],[Symbol]])</f>
        <v>62.62</v>
      </c>
      <c r="H12" s="2">
        <f>IFERROR((undervalued_trades[[#This Row],[Current Price]]-undervalued_trades[[#This Row],[Avg Price]])*SUMIF(undervalued_trades[Symbol],undervalued_trades[[#This Row],[Symbol]],undervalued_trades[Qty]),"")</f>
        <v>24.999999999999716</v>
      </c>
      <c r="I1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" spans="1:9" x14ac:dyDescent="0.25">
      <c r="A13" s="1">
        <v>45750.44425925926</v>
      </c>
      <c r="B13" t="s">
        <v>28</v>
      </c>
      <c r="C13">
        <v>20</v>
      </c>
      <c r="D13">
        <v>56</v>
      </c>
      <c r="E13">
        <v>-1120</v>
      </c>
      <c r="F13" s="2">
        <f>IFERROR(-SUMIF(undervalued_trades[Symbol],undervalued_trades[[#This Row],[Symbol]],undervalued_trades[Cost &amp; Gain])/SUMIF(undervalued_trades[Symbol],undervalued_trades[[#This Row],[Symbol]],undervalued_trades[Qty]),"")</f>
        <v>61.995000000000005</v>
      </c>
      <c r="G13" s="2">
        <f>RTD("tos.rtd", , "LAST", undervalued_trades[[#This Row],[Symbol]])</f>
        <v>62.62</v>
      </c>
      <c r="H13" s="2">
        <f>IFERROR((undervalued_trades[[#This Row],[Current Price]]-undervalued_trades[[#This Row],[Avg Price]])*SUMIF(undervalued_trades[Symbol],undervalued_trades[[#This Row],[Symbol]],undervalued_trades[Qty]),"")</f>
        <v>24.999999999999716</v>
      </c>
      <c r="I1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4" spans="1:9" x14ac:dyDescent="0.25">
      <c r="A14" s="1">
        <v>45840.395856481482</v>
      </c>
      <c r="B14" t="s">
        <v>56</v>
      </c>
      <c r="C14">
        <v>10</v>
      </c>
      <c r="D14">
        <v>70.62</v>
      </c>
      <c r="E14">
        <v>-706.2</v>
      </c>
      <c r="F14" s="2">
        <f>IFERROR(-SUMIF(undervalued_trades[Symbol],undervalued_trades[[#This Row],[Symbol]],undervalued_trades[Cost &amp; Gain])/SUMIF(undervalued_trades[Symbol],undervalued_trades[[#This Row],[Symbol]],undervalued_trades[Qty]),"")</f>
        <v>70.62</v>
      </c>
      <c r="G14" s="2">
        <f>RTD("tos.rtd", , "LAST", undervalued_trades[[#This Row],[Symbol]])</f>
        <v>91.557000000000002</v>
      </c>
      <c r="H14" s="2">
        <f>IFERROR((undervalued_trades[[#This Row],[Current Price]]-undervalued_trades[[#This Row],[Avg Price]])*SUMIF(undervalued_trades[Symbol],undervalued_trades[[#This Row],[Symbol]],undervalued_trades[Qty]),"")</f>
        <v>209.36999999999998</v>
      </c>
      <c r="I1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5" spans="1:9" x14ac:dyDescent="0.25">
      <c r="A15" s="1">
        <v>45663.393217592595</v>
      </c>
      <c r="B15" t="s">
        <v>15</v>
      </c>
      <c r="C15">
        <v>50</v>
      </c>
      <c r="D15">
        <v>20.23</v>
      </c>
      <c r="E15">
        <v>-1011.5</v>
      </c>
      <c r="F15" s="2">
        <f>IFERROR(-SUMIF(undervalued_trades[Symbol],undervalued_trades[[#This Row],[Symbol]],undervalued_trades[Cost &amp; Gain])/SUMIF(undervalued_trades[Symbol],undervalued_trades[[#This Row],[Symbol]],undervalued_trades[Qty]),"")</f>
        <v>16.690000000000001</v>
      </c>
      <c r="G15" s="2">
        <f>RTD("tos.rtd", , "LAST", undervalued_trades[[#This Row],[Symbol]])</f>
        <v>25.934999999999999</v>
      </c>
      <c r="H15" s="2">
        <f>IFERROR((undervalued_trades[[#This Row],[Current Price]]-undervalued_trades[[#This Row],[Avg Price]])*SUMIF(undervalued_trades[Symbol],undervalued_trades[[#This Row],[Symbol]],undervalued_trades[Qty]),"")</f>
        <v>1386.7499999999995</v>
      </c>
      <c r="I1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6" spans="1:9" x14ac:dyDescent="0.25">
      <c r="A16" s="1">
        <v>45707.532534722224</v>
      </c>
      <c r="B16" t="s">
        <v>15</v>
      </c>
      <c r="C16">
        <v>100</v>
      </c>
      <c r="D16">
        <v>14.92</v>
      </c>
      <c r="E16">
        <v>-1492</v>
      </c>
      <c r="F16" s="2">
        <f>IFERROR(-SUMIF(undervalued_trades[Symbol],undervalued_trades[[#This Row],[Symbol]],undervalued_trades[Cost &amp; Gain])/SUMIF(undervalued_trades[Symbol],undervalued_trades[[#This Row],[Symbol]],undervalued_trades[Qty]),"")</f>
        <v>16.690000000000001</v>
      </c>
      <c r="G16" s="2">
        <f>RTD("tos.rtd", , "LAST", undervalued_trades[[#This Row],[Symbol]])</f>
        <v>25.934999999999999</v>
      </c>
      <c r="H16" s="2">
        <f>IFERROR((undervalued_trades[[#This Row],[Current Price]]-undervalued_trades[[#This Row],[Avg Price]])*SUMIF(undervalued_trades[Symbol],undervalued_trades[[#This Row],[Symbol]],undervalued_trades[Qty]),"")</f>
        <v>1386.7499999999995</v>
      </c>
      <c r="I1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7" spans="1:9" x14ac:dyDescent="0.25">
      <c r="A17" s="1">
        <v>45783.291759259257</v>
      </c>
      <c r="B17" t="s">
        <v>46</v>
      </c>
      <c r="C17">
        <v>10</v>
      </c>
      <c r="D17">
        <v>69.83</v>
      </c>
      <c r="E17">
        <v>-698.3</v>
      </c>
      <c r="F17" s="2">
        <f>IFERROR(-SUMIF(undervalued_trades[Symbol],undervalued_trades[[#This Row],[Symbol]],undervalued_trades[Cost &amp; Gain])/SUMIF(undervalued_trades[Symbol],undervalued_trades[[#This Row],[Symbol]],undervalued_trades[Qty]),"")</f>
        <v>69.83</v>
      </c>
      <c r="G17" s="2">
        <f>RTD("tos.rtd", , "LAST", undervalued_trades[[#This Row],[Symbol]])</f>
        <v>81.5</v>
      </c>
      <c r="H17" s="2">
        <f>IFERROR((undervalued_trades[[#This Row],[Current Price]]-undervalued_trades[[#This Row],[Avg Price]])*SUMIF(undervalued_trades[Symbol],undervalued_trades[[#This Row],[Symbol]],undervalued_trades[Qty]),"")</f>
        <v>116.70000000000002</v>
      </c>
      <c r="I1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8" spans="1:9" x14ac:dyDescent="0.25">
      <c r="A18" s="1">
        <v>45652.397789351853</v>
      </c>
      <c r="B18" t="s">
        <v>7</v>
      </c>
      <c r="C18">
        <v>-80</v>
      </c>
      <c r="D18">
        <v>17.9404</v>
      </c>
      <c r="E18">
        <v>1435.232</v>
      </c>
      <c r="F18" s="2" t="str">
        <f>IFERROR(-SUMIF(undervalued_trades[Symbol],undervalued_trades[[#This Row],[Symbol]],undervalued_trades[Cost &amp; Gain])/SUMIF(undervalued_trades[Symbol],undervalued_trades[[#This Row],[Symbol]],undervalued_trades[Qty]),"")</f>
        <v/>
      </c>
      <c r="G18" s="2">
        <f>RTD("tos.rtd", , "LAST", undervalued_trades[[#This Row],[Symbol]])</f>
        <v>11.13</v>
      </c>
      <c r="H18" s="2" t="str">
        <f>IFERROR((undervalued_trades[[#This Row],[Current Price]]-undervalued_trades[[#This Row],[Avg Price]])*SUMIF(undervalued_trades[Symbol],undervalued_trades[[#This Row],[Symbol]],undervalued_trades[Qty]),"")</f>
        <v/>
      </c>
      <c r="I18" s="2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>435.23199999999997</v>
      </c>
    </row>
    <row r="19" spans="1:9" x14ac:dyDescent="0.25">
      <c r="A19" s="1">
        <v>45579.521724537037</v>
      </c>
      <c r="B19" t="s">
        <v>7</v>
      </c>
      <c r="C19">
        <v>80</v>
      </c>
      <c r="D19">
        <v>12.5</v>
      </c>
      <c r="E19">
        <v>-1000</v>
      </c>
      <c r="F19" s="2" t="str">
        <f>IFERROR(-SUMIF(undervalued_trades[Symbol],undervalued_trades[[#This Row],[Symbol]],undervalued_trades[Cost &amp; Gain])/SUMIF(undervalued_trades[Symbol],undervalued_trades[[#This Row],[Symbol]],undervalued_trades[Qty]),"")</f>
        <v/>
      </c>
      <c r="G19" s="2">
        <f>RTD("tos.rtd", , "LAST", undervalued_trades[[#This Row],[Symbol]])</f>
        <v>11.13</v>
      </c>
      <c r="H19" s="2" t="str">
        <f>IFERROR((undervalued_trades[[#This Row],[Current Price]]-undervalued_trades[[#This Row],[Avg Price]])*SUMIF(undervalued_trades[Symbol],undervalued_trades[[#This Row],[Symbol]],undervalued_trades[Qty]),"")</f>
        <v/>
      </c>
      <c r="I1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0" spans="1:9" x14ac:dyDescent="0.25">
      <c r="A20" s="1">
        <v>45902.395914351851</v>
      </c>
      <c r="B20" t="s">
        <v>66</v>
      </c>
      <c r="C20">
        <v>50</v>
      </c>
      <c r="D20">
        <v>19</v>
      </c>
      <c r="E20">
        <v>-950</v>
      </c>
      <c r="F20" s="2">
        <f>IFERROR(-SUMIF(undervalued_trades[Symbol],undervalued_trades[[#This Row],[Symbol]],undervalued_trades[Cost &amp; Gain])/SUMIF(undervalued_trades[Symbol],undervalued_trades[[#This Row],[Symbol]],undervalued_trades[Qty]),"")</f>
        <v>19</v>
      </c>
      <c r="G20" s="2">
        <f>RTD("tos.rtd", , "LAST", undervalued_trades[[#This Row],[Symbol]])</f>
        <v>13.38</v>
      </c>
      <c r="H20" s="2">
        <f>IFERROR((undervalued_trades[[#This Row],[Current Price]]-undervalued_trades[[#This Row],[Avg Price]])*SUMIF(undervalued_trades[Symbol],undervalued_trades[[#This Row],[Symbol]],undervalued_trades[Qty]),"")</f>
        <v>-280.99999999999994</v>
      </c>
      <c r="I2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1" spans="1:9" x14ac:dyDescent="0.25">
      <c r="A21" s="1">
        <v>45783.580752314818</v>
      </c>
      <c r="B21" t="s">
        <v>17</v>
      </c>
      <c r="C21">
        <v>10</v>
      </c>
      <c r="D21">
        <v>90</v>
      </c>
      <c r="E21">
        <v>-900</v>
      </c>
      <c r="F21" s="2">
        <f>IFERROR(-SUMIF(undervalued_trades[Symbol],undervalued_trades[[#This Row],[Symbol]],undervalued_trades[Cost &amp; Gain])/SUMIF(undervalued_trades[Symbol],undervalued_trades[[#This Row],[Symbol]],undervalued_trades[Qty]),"")</f>
        <v>98.75</v>
      </c>
      <c r="G21" s="2">
        <f>RTD("tos.rtd", , "LAST", undervalued_trades[[#This Row],[Symbol]])</f>
        <v>93.19</v>
      </c>
      <c r="H21" s="2">
        <f>IFERROR((undervalued_trades[[#This Row],[Current Price]]-undervalued_trades[[#This Row],[Avg Price]])*SUMIF(undervalued_trades[Symbol],undervalued_trades[[#This Row],[Symbol]],undervalued_trades[Qty]),"")</f>
        <v>-111.20000000000005</v>
      </c>
      <c r="I2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2" spans="1:9" x14ac:dyDescent="0.25">
      <c r="A22" s="1">
        <v>45719.566805555558</v>
      </c>
      <c r="B22" t="s">
        <v>17</v>
      </c>
      <c r="C22">
        <v>10</v>
      </c>
      <c r="D22">
        <v>107.5</v>
      </c>
      <c r="E22">
        <v>-1075</v>
      </c>
      <c r="F22" s="2">
        <f>IFERROR(-SUMIF(undervalued_trades[Symbol],undervalued_trades[[#This Row],[Symbol]],undervalued_trades[Cost &amp; Gain])/SUMIF(undervalued_trades[Symbol],undervalued_trades[[#This Row],[Symbol]],undervalued_trades[Qty]),"")</f>
        <v>98.75</v>
      </c>
      <c r="G22" s="2">
        <f>RTD("tos.rtd", , "LAST", undervalued_trades[[#This Row],[Symbol]])</f>
        <v>93.19</v>
      </c>
      <c r="H22" s="2">
        <f>IFERROR((undervalued_trades[[#This Row],[Current Price]]-undervalued_trades[[#This Row],[Avg Price]])*SUMIF(undervalued_trades[Symbol],undervalued_trades[[#This Row],[Symbol]],undervalued_trades[Qty]),"")</f>
        <v>-111.20000000000005</v>
      </c>
      <c r="I2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3" spans="1:9" x14ac:dyDescent="0.25">
      <c r="A23" s="1">
        <v>45750.30810185185</v>
      </c>
      <c r="B23" t="s">
        <v>26</v>
      </c>
      <c r="C23">
        <v>30</v>
      </c>
      <c r="D23">
        <v>33.33</v>
      </c>
      <c r="E23">
        <v>-999.9</v>
      </c>
      <c r="F23" s="2">
        <f>IFERROR(-SUMIF(undervalued_trades[Symbol],undervalued_trades[[#This Row],[Symbol]],undervalued_trades[Cost &amp; Gain])/SUMIF(undervalued_trades[Symbol],undervalued_trades[[#This Row],[Symbol]],undervalued_trades[Qty]),"")</f>
        <v>33.33</v>
      </c>
      <c r="G23" s="2">
        <f>RTD("tos.rtd", , "LAST", undervalued_trades[[#This Row],[Symbol]])</f>
        <v>27.844999999999999</v>
      </c>
      <c r="H23" s="2">
        <f>IFERROR((undervalued_trades[[#This Row],[Current Price]]-undervalued_trades[[#This Row],[Avg Price]])*SUMIF(undervalued_trades[Symbol],undervalued_trades[[#This Row],[Symbol]],undervalued_trades[Qty]),"")</f>
        <v>-164.54999999999998</v>
      </c>
      <c r="I2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4" spans="1:9" x14ac:dyDescent="0.25">
      <c r="A24" s="1">
        <v>45782.395844907405</v>
      </c>
      <c r="B24" t="s">
        <v>40</v>
      </c>
      <c r="C24">
        <v>10</v>
      </c>
      <c r="D24">
        <v>74</v>
      </c>
      <c r="E24">
        <v>-740</v>
      </c>
      <c r="F24" s="2">
        <f>IFERROR(-SUMIF(undervalued_trades[Symbol],undervalued_trades[[#This Row],[Symbol]],undervalued_trades[Cost &amp; Gain])/SUMIF(undervalued_trades[Symbol],undervalued_trades[[#This Row],[Symbol]],undervalued_trades[Qty]),"")</f>
        <v>74</v>
      </c>
      <c r="G24" s="2">
        <f>RTD("tos.rtd", , "LAST", undervalued_trades[[#This Row],[Symbol]])</f>
        <v>76.5</v>
      </c>
      <c r="H24" s="2">
        <f>IFERROR((undervalued_trades[[#This Row],[Current Price]]-undervalued_trades[[#This Row],[Avg Price]])*SUMIF(undervalued_trades[Symbol],undervalued_trades[[#This Row],[Symbol]],undervalued_trades[Qty]),"")</f>
        <v>25</v>
      </c>
      <c r="I2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5" spans="1:9" x14ac:dyDescent="0.25">
      <c r="A25" s="1">
        <v>45782.395844907405</v>
      </c>
      <c r="B25" t="s">
        <v>42</v>
      </c>
      <c r="C25">
        <v>10</v>
      </c>
      <c r="D25">
        <v>89.69</v>
      </c>
      <c r="E25">
        <v>-896.9</v>
      </c>
      <c r="F25" s="2">
        <f>IFERROR(-SUMIF(undervalued_trades[Symbol],undervalued_trades[[#This Row],[Symbol]],undervalued_trades[Cost &amp; Gain])/SUMIF(undervalued_trades[Symbol],undervalued_trades[[#This Row],[Symbol]],undervalued_trades[Qty]),"")</f>
        <v>89.69</v>
      </c>
      <c r="G25" s="2">
        <f>RTD("tos.rtd", , "LAST", undervalued_trades[[#This Row],[Symbol]])</f>
        <v>87.42</v>
      </c>
      <c r="H25" s="2">
        <f>IFERROR((undervalued_trades[[#This Row],[Current Price]]-undervalued_trades[[#This Row],[Avg Price]])*SUMIF(undervalued_trades[Symbol],undervalued_trades[[#This Row],[Symbol]],undervalued_trades[Qty]),"")</f>
        <v>-22.69999999999996</v>
      </c>
      <c r="I2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6" spans="1:9" x14ac:dyDescent="0.25">
      <c r="A26" s="1">
        <v>45744.49628472222</v>
      </c>
      <c r="B26" t="s">
        <v>21</v>
      </c>
      <c r="C26">
        <v>10</v>
      </c>
      <c r="D26">
        <v>100</v>
      </c>
      <c r="E26">
        <v>-1000</v>
      </c>
      <c r="F26" s="2">
        <f>IFERROR(-SUMIF(undervalued_trades[Symbol],undervalued_trades[[#This Row],[Symbol]],undervalued_trades[Cost &amp; Gain])/SUMIF(undervalued_trades[Symbol],undervalued_trades[[#This Row],[Symbol]],undervalued_trades[Qty]),"")</f>
        <v>100</v>
      </c>
      <c r="G26" s="2">
        <f>RTD("tos.rtd", , "LAST", undervalued_trades[[#This Row],[Symbol]])</f>
        <v>117.88500000000001</v>
      </c>
      <c r="H26" s="2">
        <f>IFERROR((undervalued_trades[[#This Row],[Current Price]]-undervalued_trades[[#This Row],[Avg Price]])*SUMIF(undervalued_trades[Symbol],undervalued_trades[[#This Row],[Symbol]],undervalued_trades[Qty]),"")</f>
        <v>178.85000000000005</v>
      </c>
      <c r="I2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7" spans="1:9" x14ac:dyDescent="0.25">
      <c r="A27" s="1">
        <v>45902.395856481482</v>
      </c>
      <c r="B27" t="s">
        <v>25</v>
      </c>
      <c r="C27">
        <v>10</v>
      </c>
      <c r="D27">
        <v>71.489999999999995</v>
      </c>
      <c r="E27">
        <v>-714.9</v>
      </c>
      <c r="F27" s="2">
        <f>IFERROR(-SUMIF(undervalued_trades[Symbol],undervalued_trades[[#This Row],[Symbol]],undervalued_trades[Cost &amp; Gain])/SUMIF(undervalued_trades[Symbol],undervalued_trades[[#This Row],[Symbol]],undervalued_trades[Qty]),"")</f>
        <v>75.804000000000002</v>
      </c>
      <c r="G27" s="2">
        <f>RTD("tos.rtd", , "LAST", undervalued_trades[[#This Row],[Symbol]])</f>
        <v>75.7</v>
      </c>
      <c r="H27" s="2">
        <f>IFERROR((undervalued_trades[[#This Row],[Current Price]]-undervalued_trades[[#This Row],[Avg Price]])*SUMIF(undervalued_trades[Symbol],undervalued_trades[[#This Row],[Symbol]],undervalued_trades[Qty]),"")</f>
        <v>-5.1999999999999602</v>
      </c>
      <c r="I2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8" spans="1:9" x14ac:dyDescent="0.25">
      <c r="A28" s="1">
        <v>45810.291666666664</v>
      </c>
      <c r="B28" t="s">
        <v>25</v>
      </c>
      <c r="C28">
        <v>10</v>
      </c>
      <c r="D28">
        <v>80.97</v>
      </c>
      <c r="E28">
        <v>-809.7</v>
      </c>
      <c r="F28" s="2">
        <f>IFERROR(-SUMIF(undervalued_trades[Symbol],undervalued_trades[[#This Row],[Symbol]],undervalued_trades[Cost &amp; Gain])/SUMIF(undervalued_trades[Symbol],undervalued_trades[[#This Row],[Symbol]],undervalued_trades[Qty]),"")</f>
        <v>75.804000000000002</v>
      </c>
      <c r="G28" s="2">
        <f>RTD("tos.rtd", , "LAST", undervalued_trades[[#This Row],[Symbol]])</f>
        <v>75.7</v>
      </c>
      <c r="H28" s="2">
        <f>IFERROR((undervalued_trades[[#This Row],[Current Price]]-undervalued_trades[[#This Row],[Avg Price]])*SUMIF(undervalued_trades[Symbol],undervalued_trades[[#This Row],[Symbol]],undervalued_trades[Qty]),"")</f>
        <v>-5.1999999999999602</v>
      </c>
      <c r="I2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29" spans="1:9" x14ac:dyDescent="0.25">
      <c r="A29" s="1">
        <v>45874.395856481482</v>
      </c>
      <c r="B29" t="s">
        <v>25</v>
      </c>
      <c r="C29">
        <v>10</v>
      </c>
      <c r="D29">
        <v>71.260000000000005</v>
      </c>
      <c r="E29">
        <v>-712.6</v>
      </c>
      <c r="F29" s="2">
        <f>IFERROR(-SUMIF(undervalued_trades[Symbol],undervalued_trades[[#This Row],[Symbol]],undervalued_trades[Cost &amp; Gain])/SUMIF(undervalued_trades[Symbol],undervalued_trades[[#This Row],[Symbol]],undervalued_trades[Qty]),"")</f>
        <v>75.804000000000002</v>
      </c>
      <c r="G29" s="2">
        <f>RTD("tos.rtd", , "LAST", undervalued_trades[[#This Row],[Symbol]])</f>
        <v>75.7</v>
      </c>
      <c r="H29" s="2">
        <f>IFERROR((undervalued_trades[[#This Row],[Current Price]]-undervalued_trades[[#This Row],[Avg Price]])*SUMIF(undervalued_trades[Symbol],undervalued_trades[[#This Row],[Symbol]],undervalued_trades[Qty]),"")</f>
        <v>-5.1999999999999602</v>
      </c>
      <c r="I2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0" spans="1:9" x14ac:dyDescent="0.25">
      <c r="A30" s="1">
        <v>45747.392361111109</v>
      </c>
      <c r="B30" t="s">
        <v>25</v>
      </c>
      <c r="C30">
        <v>10</v>
      </c>
      <c r="D30">
        <v>75</v>
      </c>
      <c r="E30">
        <v>-750</v>
      </c>
      <c r="F30" s="2">
        <f>IFERROR(-SUMIF(undervalued_trades[Symbol],undervalued_trades[[#This Row],[Symbol]],undervalued_trades[Cost &amp; Gain])/SUMIF(undervalued_trades[Symbol],undervalued_trades[[#This Row],[Symbol]],undervalued_trades[Qty]),"")</f>
        <v>75.804000000000002</v>
      </c>
      <c r="G30" s="2">
        <f>RTD("tos.rtd", , "LAST", undervalued_trades[[#This Row],[Symbol]])</f>
        <v>75.7</v>
      </c>
      <c r="H30" s="2">
        <f>IFERROR((undervalued_trades[[#This Row],[Current Price]]-undervalued_trades[[#This Row],[Avg Price]])*SUMIF(undervalued_trades[Symbol],undervalued_trades[[#This Row],[Symbol]],undervalued_trades[Qty]),"")</f>
        <v>-5.1999999999999602</v>
      </c>
      <c r="I3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1" spans="1:9" x14ac:dyDescent="0.25">
      <c r="A31" s="1">
        <v>45840.395833333336</v>
      </c>
      <c r="B31" t="s">
        <v>25</v>
      </c>
      <c r="C31">
        <v>10</v>
      </c>
      <c r="D31">
        <v>80.3</v>
      </c>
      <c r="E31">
        <v>-803</v>
      </c>
      <c r="F31" s="2">
        <f>IFERROR(-SUMIF(undervalued_trades[Symbol],undervalued_trades[[#This Row],[Symbol]],undervalued_trades[Cost &amp; Gain])/SUMIF(undervalued_trades[Symbol],undervalued_trades[[#This Row],[Symbol]],undervalued_trades[Qty]),"")</f>
        <v>75.804000000000002</v>
      </c>
      <c r="G31" s="2">
        <f>RTD("tos.rtd", , "LAST", undervalued_trades[[#This Row],[Symbol]])</f>
        <v>75.7</v>
      </c>
      <c r="H31" s="2">
        <f>IFERROR((undervalued_trades[[#This Row],[Current Price]]-undervalued_trades[[#This Row],[Avg Price]])*SUMIF(undervalued_trades[Symbol],undervalued_trades[[#This Row],[Symbol]],undervalued_trades[Qty]),"")</f>
        <v>-5.1999999999999602</v>
      </c>
      <c r="I3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2" spans="1:9" x14ac:dyDescent="0.25">
      <c r="A32" s="1">
        <v>45754.291666666664</v>
      </c>
      <c r="B32" t="s">
        <v>34</v>
      </c>
      <c r="C32">
        <v>90</v>
      </c>
      <c r="D32">
        <v>10.84</v>
      </c>
      <c r="E32">
        <v>-975.6</v>
      </c>
      <c r="F32" s="2">
        <f>IFERROR(-SUMIF(undervalued_trades[Symbol],undervalued_trades[[#This Row],[Symbol]],undervalued_trades[Cost &amp; Gain])/SUMIF(undervalued_trades[Symbol],undervalued_trades[[#This Row],[Symbol]],undervalued_trades[Qty]),"")</f>
        <v>10.84</v>
      </c>
      <c r="G32" s="2">
        <f>RTD("tos.rtd", , "LAST", undervalued_trades[[#This Row],[Symbol]])</f>
        <v>17.899999999999999</v>
      </c>
      <c r="H32" s="2">
        <f>IFERROR((undervalued_trades[[#This Row],[Current Price]]-undervalued_trades[[#This Row],[Avg Price]])*SUMIF(undervalued_trades[Symbol],undervalued_trades[[#This Row],[Symbol]],undervalued_trades[Qty]),"")</f>
        <v>635.39999999999986</v>
      </c>
      <c r="I3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3" spans="1:9" x14ac:dyDescent="0.25">
      <c r="A33" s="1">
        <v>45740.634375000001</v>
      </c>
      <c r="B33" t="s">
        <v>19</v>
      </c>
      <c r="C33">
        <v>100</v>
      </c>
      <c r="D33">
        <v>10.050000000000001</v>
      </c>
      <c r="E33">
        <v>-1005.0000000000001</v>
      </c>
      <c r="F33" s="2">
        <f>IFERROR(-SUMIF(undervalued_trades[Symbol],undervalued_trades[[#This Row],[Symbol]],undervalued_trades[Cost &amp; Gain])/SUMIF(undervalued_trades[Symbol],undervalued_trades[[#This Row],[Symbol]],undervalued_trades[Qty]),"")</f>
        <v>10.050000000000001</v>
      </c>
      <c r="G33" s="2">
        <f>RTD("tos.rtd", , "LAST", undervalued_trades[[#This Row],[Symbol]])</f>
        <v>9.14</v>
      </c>
      <c r="H33" s="2">
        <f>IFERROR((undervalued_trades[[#This Row],[Current Price]]-undervalued_trades[[#This Row],[Avg Price]])*SUMIF(undervalued_trades[Symbol],undervalued_trades[[#This Row],[Symbol]],undervalued_trades[Qty]),"")</f>
        <v>-91.000000000000014</v>
      </c>
      <c r="I3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4" spans="1:9" x14ac:dyDescent="0.25">
      <c r="A34" s="1">
        <v>45810.291759259257</v>
      </c>
      <c r="B34" t="s">
        <v>31</v>
      </c>
      <c r="C34">
        <v>10</v>
      </c>
      <c r="D34">
        <v>91.76</v>
      </c>
      <c r="E34">
        <v>-917.6</v>
      </c>
      <c r="F34" s="2">
        <f>IFERROR(-SUMIF(undervalued_trades[Symbol],undervalued_trades[[#This Row],[Symbol]],undervalued_trades[Cost &amp; Gain])/SUMIF(undervalued_trades[Symbol],undervalued_trades[[#This Row],[Symbol]],undervalued_trades[Qty]),"")</f>
        <v>88.13</v>
      </c>
      <c r="G34" s="2">
        <f>RTD("tos.rtd", , "LAST", undervalued_trades[[#This Row],[Symbol]])</f>
        <v>75.8</v>
      </c>
      <c r="H34" s="2">
        <f>IFERROR((undervalued_trades[[#This Row],[Current Price]]-undervalued_trades[[#This Row],[Avg Price]])*SUMIF(undervalued_trades[Symbol],undervalued_trades[[#This Row],[Symbol]],undervalued_trades[Qty]),"")</f>
        <v>-246.59999999999997</v>
      </c>
      <c r="I3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5" spans="1:9" x14ac:dyDescent="0.25">
      <c r="A35" s="1">
        <v>45751.308148148149</v>
      </c>
      <c r="B35" t="s">
        <v>31</v>
      </c>
      <c r="C35">
        <v>10</v>
      </c>
      <c r="D35">
        <v>84.5</v>
      </c>
      <c r="E35">
        <v>-845</v>
      </c>
      <c r="F35" s="2">
        <f>IFERROR(-SUMIF(undervalued_trades[Symbol],undervalued_trades[[#This Row],[Symbol]],undervalued_trades[Cost &amp; Gain])/SUMIF(undervalued_trades[Symbol],undervalued_trades[[#This Row],[Symbol]],undervalued_trades[Qty]),"")</f>
        <v>88.13</v>
      </c>
      <c r="G35" s="2">
        <f>RTD("tos.rtd", , "LAST", undervalued_trades[[#This Row],[Symbol]])</f>
        <v>75.8</v>
      </c>
      <c r="H35" s="2">
        <f>IFERROR((undervalued_trades[[#This Row],[Current Price]]-undervalued_trades[[#This Row],[Avg Price]])*SUMIF(undervalued_trades[Symbol],undervalued_trades[[#This Row],[Symbol]],undervalued_trades[Qty]),"")</f>
        <v>-246.59999999999997</v>
      </c>
      <c r="I3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6" spans="1:9" x14ac:dyDescent="0.25">
      <c r="A36" s="1">
        <v>45838.395740740743</v>
      </c>
      <c r="B36" t="s">
        <v>55</v>
      </c>
      <c r="C36">
        <v>20</v>
      </c>
      <c r="D36">
        <v>44.5</v>
      </c>
      <c r="E36">
        <v>-890</v>
      </c>
      <c r="F36" s="2">
        <f>IFERROR(-SUMIF(undervalued_trades[Symbol],undervalued_trades[[#This Row],[Symbol]],undervalued_trades[Cost &amp; Gain])/SUMIF(undervalued_trades[Symbol],undervalued_trades[[#This Row],[Symbol]],undervalued_trades[Qty]),"")</f>
        <v>44.5</v>
      </c>
      <c r="G36" s="2">
        <f>RTD("tos.rtd", , "LAST", undervalued_trades[[#This Row],[Symbol]])</f>
        <v>48.87</v>
      </c>
      <c r="H36" s="2">
        <f>IFERROR((undervalued_trades[[#This Row],[Current Price]]-undervalued_trades[[#This Row],[Avg Price]])*SUMIF(undervalued_trades[Symbol],undervalued_trades[[#This Row],[Symbol]],undervalued_trades[Qty]),"")</f>
        <v>87.399999999999949</v>
      </c>
      <c r="I3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7" spans="1:9" x14ac:dyDescent="0.25">
      <c r="A37" s="1">
        <v>45810.395833333336</v>
      </c>
      <c r="B37" t="s">
        <v>52</v>
      </c>
      <c r="C37">
        <v>20</v>
      </c>
      <c r="D37">
        <v>8.36</v>
      </c>
      <c r="E37">
        <v>-167.2</v>
      </c>
      <c r="F37" s="2">
        <f>IFERROR(-SUMIF(undervalued_trades[Symbol],undervalued_trades[[#This Row],[Symbol]],undervalued_trades[Cost &amp; Gain])/SUMIF(undervalued_trades[Symbol],undervalued_trades[[#This Row],[Symbol]],undervalued_trades[Qty]),"")</f>
        <v>8.3600000000000012</v>
      </c>
      <c r="G37" s="2">
        <f>RTD("tos.rtd", , "LAST", undervalued_trades[[#This Row],[Symbol]])</f>
        <v>4.92</v>
      </c>
      <c r="H37" s="2">
        <f>IFERROR((undervalued_trades[[#This Row],[Current Price]]-undervalued_trades[[#This Row],[Avg Price]])*SUMIF(undervalued_trades[Symbol],undervalued_trades[[#This Row],[Symbol]],undervalued_trades[Qty]),"")</f>
        <v>-412.80000000000018</v>
      </c>
      <c r="I3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8" spans="1:9" x14ac:dyDescent="0.25">
      <c r="A38" s="1">
        <v>45810.395833333336</v>
      </c>
      <c r="B38" t="s">
        <v>52</v>
      </c>
      <c r="C38">
        <v>100</v>
      </c>
      <c r="D38">
        <v>8.36</v>
      </c>
      <c r="E38">
        <v>-836</v>
      </c>
      <c r="F38" s="2">
        <f>IFERROR(-SUMIF(undervalued_trades[Symbol],undervalued_trades[[#This Row],[Symbol]],undervalued_trades[Cost &amp; Gain])/SUMIF(undervalued_trades[Symbol],undervalued_trades[[#This Row],[Symbol]],undervalued_trades[Qty]),"")</f>
        <v>8.3600000000000012</v>
      </c>
      <c r="G38" s="2">
        <f>RTD("tos.rtd", , "LAST", undervalued_trades[[#This Row],[Symbol]])</f>
        <v>4.92</v>
      </c>
      <c r="H38" s="2">
        <f>IFERROR((undervalued_trades[[#This Row],[Current Price]]-undervalued_trades[[#This Row],[Avg Price]])*SUMIF(undervalued_trades[Symbol],undervalued_trades[[#This Row],[Symbol]],undervalued_trades[Qty]),"")</f>
        <v>-412.80000000000018</v>
      </c>
      <c r="I3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39" spans="1:9" x14ac:dyDescent="0.25">
      <c r="A39" s="1">
        <v>45937.395856481482</v>
      </c>
      <c r="B39" t="s">
        <v>68</v>
      </c>
      <c r="C39">
        <v>20</v>
      </c>
      <c r="D39">
        <v>41.15</v>
      </c>
      <c r="E39">
        <v>-823</v>
      </c>
      <c r="F39" s="2">
        <f>IFERROR(-SUMIF(undervalued_trades[Symbol],undervalued_trades[[#This Row],[Symbol]],undervalued_trades[Cost &amp; Gain])/SUMIF(undervalued_trades[Symbol],undervalued_trades[[#This Row],[Symbol]],undervalued_trades[Qty]),"")</f>
        <v>41.15</v>
      </c>
      <c r="G39" s="2">
        <f>RTD("tos.rtd", , "LAST", undervalued_trades[[#This Row],[Symbol]])</f>
        <v>44.35</v>
      </c>
      <c r="H39" s="2">
        <f>IFERROR((undervalued_trades[[#This Row],[Current Price]]-undervalued_trades[[#This Row],[Avg Price]])*SUMIF(undervalued_trades[Symbol],undervalued_trades[[#This Row],[Symbol]],undervalued_trades[Qty]),"")</f>
        <v>64.000000000000057</v>
      </c>
      <c r="I3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0" spans="1:9" x14ac:dyDescent="0.25">
      <c r="A40" s="1">
        <v>45874.395844907405</v>
      </c>
      <c r="B40" t="s">
        <v>35</v>
      </c>
      <c r="C40">
        <v>10</v>
      </c>
      <c r="D40">
        <v>96.75</v>
      </c>
      <c r="E40">
        <v>-967.5</v>
      </c>
      <c r="F40" s="2">
        <f>IFERROR(-SUMIF(undervalued_trades[Symbol],undervalued_trades[[#This Row],[Symbol]],undervalued_trades[Cost &amp; Gain])/SUMIF(undervalued_trades[Symbol],undervalued_trades[[#This Row],[Symbol]],undervalued_trades[Qty]),"")</f>
        <v>94.537499999999994</v>
      </c>
      <c r="G40" s="2">
        <f>RTD("tos.rtd", , "LAST", undervalued_trades[[#This Row],[Symbol]])</f>
        <v>88.36</v>
      </c>
      <c r="H40" s="2">
        <f>IFERROR((undervalued_trades[[#This Row],[Current Price]]-undervalued_trades[[#This Row],[Avg Price]])*SUMIF(undervalued_trades[Symbol],undervalued_trades[[#This Row],[Symbol]],undervalued_trades[Qty]),"")</f>
        <v>-247.0999999999998</v>
      </c>
      <c r="I4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1" spans="1:9" x14ac:dyDescent="0.25">
      <c r="A41" s="1">
        <v>45937.395844907405</v>
      </c>
      <c r="B41" t="s">
        <v>35</v>
      </c>
      <c r="C41">
        <v>10</v>
      </c>
      <c r="D41">
        <v>91.34</v>
      </c>
      <c r="E41">
        <v>-913.40000000000009</v>
      </c>
      <c r="F41" s="2">
        <f>IFERROR(-SUMIF(undervalued_trades[Symbol],undervalued_trades[[#This Row],[Symbol]],undervalued_trades[Cost &amp; Gain])/SUMIF(undervalued_trades[Symbol],undervalued_trades[[#This Row],[Symbol]],undervalued_trades[Qty]),"")</f>
        <v>94.537499999999994</v>
      </c>
      <c r="G41" s="2">
        <f>RTD("tos.rtd", , "LAST", undervalued_trades[[#This Row],[Symbol]])</f>
        <v>88.36</v>
      </c>
      <c r="H41" s="2">
        <f>IFERROR((undervalued_trades[[#This Row],[Current Price]]-undervalued_trades[[#This Row],[Avg Price]])*SUMIF(undervalued_trades[Symbol],undervalued_trades[[#This Row],[Symbol]],undervalued_trades[Qty]),"")</f>
        <v>-247.0999999999998</v>
      </c>
      <c r="I4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2" spans="1:9" x14ac:dyDescent="0.25">
      <c r="A42" s="1">
        <v>45754.291678240741</v>
      </c>
      <c r="B42" t="s">
        <v>35</v>
      </c>
      <c r="C42">
        <v>10</v>
      </c>
      <c r="D42">
        <v>93.8</v>
      </c>
      <c r="E42">
        <v>-938</v>
      </c>
      <c r="F42" s="2">
        <f>IFERROR(-SUMIF(undervalued_trades[Symbol],undervalued_trades[[#This Row],[Symbol]],undervalued_trades[Cost &amp; Gain])/SUMIF(undervalued_trades[Symbol],undervalued_trades[[#This Row],[Symbol]],undervalued_trades[Qty]),"")</f>
        <v>94.537499999999994</v>
      </c>
      <c r="G42" s="2">
        <f>RTD("tos.rtd", , "LAST", undervalued_trades[[#This Row],[Symbol]])</f>
        <v>88.36</v>
      </c>
      <c r="H42" s="2">
        <f>IFERROR((undervalued_trades[[#This Row],[Current Price]]-undervalued_trades[[#This Row],[Avg Price]])*SUMIF(undervalued_trades[Symbol],undervalued_trades[[#This Row],[Symbol]],undervalued_trades[Qty]),"")</f>
        <v>-247.0999999999998</v>
      </c>
      <c r="I4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3" spans="1:9" x14ac:dyDescent="0.25">
      <c r="A43" s="1">
        <v>45902.395856481482</v>
      </c>
      <c r="B43" t="s">
        <v>35</v>
      </c>
      <c r="C43">
        <v>10</v>
      </c>
      <c r="D43">
        <v>96.26</v>
      </c>
      <c r="E43">
        <v>-962.6</v>
      </c>
      <c r="F43" s="2">
        <f>IFERROR(-SUMIF(undervalued_trades[Symbol],undervalued_trades[[#This Row],[Symbol]],undervalued_trades[Cost &amp; Gain])/SUMIF(undervalued_trades[Symbol],undervalued_trades[[#This Row],[Symbol]],undervalued_trades[Qty]),"")</f>
        <v>94.537499999999994</v>
      </c>
      <c r="G43" s="2">
        <f>RTD("tos.rtd", , "LAST", undervalued_trades[[#This Row],[Symbol]])</f>
        <v>88.36</v>
      </c>
      <c r="H43" s="2">
        <f>IFERROR((undervalued_trades[[#This Row],[Current Price]]-undervalued_trades[[#This Row],[Avg Price]])*SUMIF(undervalued_trades[Symbol],undervalued_trades[[#This Row],[Symbol]],undervalued_trades[Qty]),"")</f>
        <v>-247.0999999999998</v>
      </c>
      <c r="I4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4" spans="1:9" x14ac:dyDescent="0.25">
      <c r="A44" s="1">
        <v>45874.395856481482</v>
      </c>
      <c r="B44" t="s">
        <v>29</v>
      </c>
      <c r="C44">
        <v>40</v>
      </c>
      <c r="D44">
        <v>24.28</v>
      </c>
      <c r="E44">
        <v>-971.2</v>
      </c>
      <c r="F44" s="2">
        <f>IFERROR(-SUMIF(undervalued_trades[Symbol],undervalued_trades[[#This Row],[Symbol]],undervalued_trades[Cost &amp; Gain])/SUMIF(undervalued_trades[Symbol],undervalued_trades[[#This Row],[Symbol]],undervalued_trades[Qty]),"")</f>
        <v>26.40444444444444</v>
      </c>
      <c r="G44" s="2">
        <f>RTD("tos.rtd", , "LAST", undervalued_trades[[#This Row],[Symbol]])</f>
        <v>28.54</v>
      </c>
      <c r="H44" s="2">
        <f>IFERROR((undervalued_trades[[#This Row],[Current Price]]-undervalued_trades[[#This Row],[Avg Price]])*SUMIF(undervalued_trades[Symbol],undervalued_trades[[#This Row],[Symbol]],undervalued_trades[Qty]),"")</f>
        <v>384.4000000000006</v>
      </c>
      <c r="I4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5" spans="1:9" x14ac:dyDescent="0.25">
      <c r="A45" s="1">
        <v>45902.395856481482</v>
      </c>
      <c r="B45" t="s">
        <v>29</v>
      </c>
      <c r="C45">
        <v>40</v>
      </c>
      <c r="D45">
        <v>26.89</v>
      </c>
      <c r="E45">
        <v>-1075.5999999999999</v>
      </c>
      <c r="F45" s="2">
        <f>IFERROR(-SUMIF(undervalued_trades[Symbol],undervalued_trades[[#This Row],[Symbol]],undervalued_trades[Cost &amp; Gain])/SUMIF(undervalued_trades[Symbol],undervalued_trades[[#This Row],[Symbol]],undervalued_trades[Qty]),"")</f>
        <v>26.40444444444444</v>
      </c>
      <c r="G45" s="2">
        <f>RTD("tos.rtd", , "LAST", undervalued_trades[[#This Row],[Symbol]])</f>
        <v>28.54</v>
      </c>
      <c r="H45" s="2">
        <f>IFERROR((undervalued_trades[[#This Row],[Current Price]]-undervalued_trades[[#This Row],[Avg Price]])*SUMIF(undervalued_trades[Symbol],undervalued_trades[[#This Row],[Symbol]],undervalued_trades[Qty]),"")</f>
        <v>384.4000000000006</v>
      </c>
      <c r="I4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6" spans="1:9" x14ac:dyDescent="0.25">
      <c r="A46" s="1">
        <v>45806.428460648145</v>
      </c>
      <c r="B46" t="s">
        <v>29</v>
      </c>
      <c r="C46">
        <v>30</v>
      </c>
      <c r="D46">
        <v>28.28</v>
      </c>
      <c r="E46">
        <v>-848.40000000000009</v>
      </c>
      <c r="F46" s="2">
        <f>IFERROR(-SUMIF(undervalued_trades[Symbol],undervalued_trades[[#This Row],[Symbol]],undervalued_trades[Cost &amp; Gain])/SUMIF(undervalued_trades[Symbol],undervalued_trades[[#This Row],[Symbol]],undervalued_trades[Qty]),"")</f>
        <v>26.40444444444444</v>
      </c>
      <c r="G46" s="2">
        <f>RTD("tos.rtd", , "LAST", undervalued_trades[[#This Row],[Symbol]])</f>
        <v>28.54</v>
      </c>
      <c r="H46" s="2">
        <f>IFERROR((undervalued_trades[[#This Row],[Current Price]]-undervalued_trades[[#This Row],[Avg Price]])*SUMIF(undervalued_trades[Symbol],undervalued_trades[[#This Row],[Symbol]],undervalued_trades[Qty]),"")</f>
        <v>384.4000000000006</v>
      </c>
      <c r="I4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7" spans="1:9" x14ac:dyDescent="0.25">
      <c r="A47" s="1">
        <v>45810.291666666664</v>
      </c>
      <c r="B47" t="s">
        <v>29</v>
      </c>
      <c r="C47">
        <v>30</v>
      </c>
      <c r="D47">
        <v>29.04</v>
      </c>
      <c r="E47">
        <v>-871.19999999999993</v>
      </c>
      <c r="F47" s="2">
        <f>IFERROR(-SUMIF(undervalued_trades[Symbol],undervalued_trades[[#This Row],[Symbol]],undervalued_trades[Cost &amp; Gain])/SUMIF(undervalued_trades[Symbol],undervalued_trades[[#This Row],[Symbol]],undervalued_trades[Qty]),"")</f>
        <v>26.40444444444444</v>
      </c>
      <c r="G47" s="2">
        <f>RTD("tos.rtd", , "LAST", undervalued_trades[[#This Row],[Symbol]])</f>
        <v>28.54</v>
      </c>
      <c r="H47" s="2">
        <f>IFERROR((undervalued_trades[[#This Row],[Current Price]]-undervalued_trades[[#This Row],[Avg Price]])*SUMIF(undervalued_trades[Symbol],undervalued_trades[[#This Row],[Symbol]],undervalued_trades[Qty]),"")</f>
        <v>384.4000000000006</v>
      </c>
      <c r="I4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8" spans="1:9" x14ac:dyDescent="0.25">
      <c r="A48" s="1">
        <v>45751.291666666664</v>
      </c>
      <c r="B48" t="s">
        <v>29</v>
      </c>
      <c r="C48">
        <v>40</v>
      </c>
      <c r="D48">
        <v>24.66</v>
      </c>
      <c r="E48">
        <v>-986.4</v>
      </c>
      <c r="F48" s="2">
        <f>IFERROR(-SUMIF(undervalued_trades[Symbol],undervalued_trades[[#This Row],[Symbol]],undervalued_trades[Cost &amp; Gain])/SUMIF(undervalued_trades[Symbol],undervalued_trades[[#This Row],[Symbol]],undervalued_trades[Qty]),"")</f>
        <v>26.40444444444444</v>
      </c>
      <c r="G48" s="2">
        <f>RTD("tos.rtd", , "LAST", undervalued_trades[[#This Row],[Symbol]])</f>
        <v>28.54</v>
      </c>
      <c r="H48" s="2">
        <f>IFERROR((undervalued_trades[[#This Row],[Current Price]]-undervalued_trades[[#This Row],[Avg Price]])*SUMIF(undervalued_trades[Symbol],undervalued_trades[[#This Row],[Symbol]],undervalued_trades[Qty]),"")</f>
        <v>384.4000000000006</v>
      </c>
      <c r="I4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49" spans="1:9" x14ac:dyDescent="0.25">
      <c r="A49" s="1">
        <v>45902.395833333336</v>
      </c>
      <c r="B49" t="s">
        <v>22</v>
      </c>
      <c r="C49">
        <v>40</v>
      </c>
      <c r="D49">
        <v>25.79</v>
      </c>
      <c r="E49">
        <v>-1031.5999999999999</v>
      </c>
      <c r="F49" s="2">
        <f>IFERROR(-SUMIF(undervalued_trades[Symbol],undervalued_trades[[#This Row],[Symbol]],undervalued_trades[Cost &amp; Gain])/SUMIF(undervalued_trades[Symbol],undervalued_trades[[#This Row],[Symbol]],undervalued_trades[Qty]),"")</f>
        <v>22.228888888888889</v>
      </c>
      <c r="G49" s="2">
        <f>RTD("tos.rtd", , "LAST", undervalued_trades[[#This Row],[Symbol]])</f>
        <v>30.765000000000001</v>
      </c>
      <c r="H49" s="2">
        <f>IFERROR((undervalued_trades[[#This Row],[Current Price]]-undervalued_trades[[#This Row],[Avg Price]])*SUMIF(undervalued_trades[Symbol],undervalued_trades[[#This Row],[Symbol]],undervalued_trades[Qty]),"")</f>
        <v>768.25</v>
      </c>
      <c r="I4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0" spans="1:9" x14ac:dyDescent="0.25">
      <c r="A50" s="1">
        <v>45747.291666666664</v>
      </c>
      <c r="B50" t="s">
        <v>22</v>
      </c>
      <c r="C50">
        <v>50</v>
      </c>
      <c r="D50">
        <v>19.38</v>
      </c>
      <c r="E50">
        <v>-969</v>
      </c>
      <c r="F50" s="2">
        <f>IFERROR(-SUMIF(undervalued_trades[Symbol],undervalued_trades[[#This Row],[Symbol]],undervalued_trades[Cost &amp; Gain])/SUMIF(undervalued_trades[Symbol],undervalued_trades[[#This Row],[Symbol]],undervalued_trades[Qty]),"")</f>
        <v>22.228888888888889</v>
      </c>
      <c r="G50" s="2">
        <f>RTD("tos.rtd", , "LAST", undervalued_trades[[#This Row],[Symbol]])</f>
        <v>30.765000000000001</v>
      </c>
      <c r="H50" s="2">
        <f>IFERROR((undervalued_trades[[#This Row],[Current Price]]-undervalued_trades[[#This Row],[Avg Price]])*SUMIF(undervalued_trades[Symbol],undervalued_trades[[#This Row],[Symbol]],undervalued_trades[Qty]),"")</f>
        <v>768.25</v>
      </c>
      <c r="I5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1" spans="1:9" x14ac:dyDescent="0.25">
      <c r="A51" s="1">
        <v>45720.397013888891</v>
      </c>
      <c r="B51" t="s">
        <v>11</v>
      </c>
      <c r="C51">
        <v>50</v>
      </c>
      <c r="D51">
        <v>21</v>
      </c>
      <c r="E51">
        <v>-1050</v>
      </c>
      <c r="F51" s="2">
        <f>IFERROR(-SUMIF(undervalued_trades[Symbol],undervalued_trades[[#This Row],[Symbol]],undervalued_trades[Cost &amp; Gain])/SUMIF(undervalued_trades[Symbol],undervalued_trades[[#This Row],[Symbol]],undervalued_trades[Qty]),"")</f>
        <v>22.004444444444445</v>
      </c>
      <c r="G51" s="2">
        <f>RTD("tos.rtd", , "LAST", undervalued_trades[[#This Row],[Symbol]])</f>
        <v>34.159999999999997</v>
      </c>
      <c r="H51" s="2">
        <f>IFERROR((undervalued_trades[[#This Row],[Current Price]]-undervalued_trades[[#This Row],[Avg Price]])*SUMIF(undervalued_trades[Symbol],undervalued_trades[[#This Row],[Symbol]],undervalued_trades[Qty]),"")</f>
        <v>1093.9999999999995</v>
      </c>
      <c r="I5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2" spans="1:9" x14ac:dyDescent="0.25">
      <c r="A52" s="1">
        <v>45608.414699074077</v>
      </c>
      <c r="B52" t="s">
        <v>11</v>
      </c>
      <c r="C52">
        <v>40</v>
      </c>
      <c r="D52">
        <v>23.26</v>
      </c>
      <c r="E52">
        <v>-930.40000000000009</v>
      </c>
      <c r="F52" s="2">
        <f>IFERROR(-SUMIF(undervalued_trades[Symbol],undervalued_trades[[#This Row],[Symbol]],undervalued_trades[Cost &amp; Gain])/SUMIF(undervalued_trades[Symbol],undervalued_trades[[#This Row],[Symbol]],undervalued_trades[Qty]),"")</f>
        <v>22.004444444444445</v>
      </c>
      <c r="G52" s="2">
        <f>RTD("tos.rtd", , "LAST", undervalued_trades[[#This Row],[Symbol]])</f>
        <v>34.159999999999997</v>
      </c>
      <c r="H52" s="2">
        <f>IFERROR((undervalued_trades[[#This Row],[Current Price]]-undervalued_trades[[#This Row],[Avg Price]])*SUMIF(undervalued_trades[Symbol],undervalued_trades[[#This Row],[Symbol]],undervalued_trades[Qty]),"")</f>
        <v>1093.9999999999995</v>
      </c>
      <c r="I5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3" spans="1:9" x14ac:dyDescent="0.25">
      <c r="A53" s="1">
        <v>45806.668912037036</v>
      </c>
      <c r="B53" t="s">
        <v>18</v>
      </c>
      <c r="C53">
        <v>200</v>
      </c>
      <c r="D53">
        <v>5</v>
      </c>
      <c r="E53">
        <v>-1000</v>
      </c>
      <c r="F53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3" s="2">
        <f>RTD("tos.rtd", , "LAST", undervalued_trades[[#This Row],[Symbol]])</f>
        <v>6.1749999999999998</v>
      </c>
      <c r="H53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4" spans="1:9" x14ac:dyDescent="0.25">
      <c r="A54" s="1">
        <v>45811.397233796299</v>
      </c>
      <c r="B54" t="s">
        <v>18</v>
      </c>
      <c r="C54">
        <v>200</v>
      </c>
      <c r="D54">
        <v>5</v>
      </c>
      <c r="E54">
        <v>-1000</v>
      </c>
      <c r="F54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4" s="2">
        <f>RTD("tos.rtd", , "LAST", undervalued_trades[[#This Row],[Symbol]])</f>
        <v>6.1749999999999998</v>
      </c>
      <c r="H54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5" spans="1:9" x14ac:dyDescent="0.25">
      <c r="A55" s="1">
        <v>45840.416192129633</v>
      </c>
      <c r="B55" t="s">
        <v>18</v>
      </c>
      <c r="C55">
        <v>200</v>
      </c>
      <c r="D55">
        <v>4.99</v>
      </c>
      <c r="E55">
        <v>-998</v>
      </c>
      <c r="F55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5" s="2">
        <f>RTD("tos.rtd", , "LAST", undervalued_trades[[#This Row],[Symbol]])</f>
        <v>6.1749999999999998</v>
      </c>
      <c r="H55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6" spans="1:9" x14ac:dyDescent="0.25">
      <c r="A56" s="1">
        <v>45740.291770833333</v>
      </c>
      <c r="B56" t="s">
        <v>18</v>
      </c>
      <c r="C56">
        <v>230</v>
      </c>
      <c r="D56">
        <v>4.3498000000000001</v>
      </c>
      <c r="E56">
        <v>-1000.4540000000001</v>
      </c>
      <c r="F56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6" s="2">
        <f>RTD("tos.rtd", , "LAST", undervalued_trades[[#This Row],[Symbol]])</f>
        <v>6.1749999999999998</v>
      </c>
      <c r="H56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7" spans="1:9" x14ac:dyDescent="0.25">
      <c r="A57" s="1">
        <v>45902.395856481482</v>
      </c>
      <c r="B57" t="s">
        <v>18</v>
      </c>
      <c r="C57">
        <v>150</v>
      </c>
      <c r="D57">
        <v>6.11</v>
      </c>
      <c r="E57">
        <v>-916.5</v>
      </c>
      <c r="F57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7" s="2">
        <f>RTD("tos.rtd", , "LAST", undervalued_trades[[#This Row],[Symbol]])</f>
        <v>6.1749999999999998</v>
      </c>
      <c r="H57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8" spans="1:9" x14ac:dyDescent="0.25">
      <c r="A58" s="1">
        <v>45874.395833333336</v>
      </c>
      <c r="B58" t="s">
        <v>18</v>
      </c>
      <c r="C58">
        <v>170</v>
      </c>
      <c r="D58">
        <v>5.85</v>
      </c>
      <c r="E58">
        <v>-994.49999999999989</v>
      </c>
      <c r="F58" s="2">
        <f>IFERROR(-SUMIF(undervalued_trades[Symbol],undervalued_trades[[#This Row],[Symbol]],undervalued_trades[Cost &amp; Gain])/SUMIF(undervalued_trades[Symbol],undervalued_trades[[#This Row],[Symbol]],undervalued_trades[Qty]),"")</f>
        <v>5.1386556521739131</v>
      </c>
      <c r="G58" s="2">
        <f>RTD("tos.rtd", , "LAST", undervalued_trades[[#This Row],[Symbol]])</f>
        <v>6.1749999999999998</v>
      </c>
      <c r="H58" s="2">
        <f>IFERROR((undervalued_trades[[#This Row],[Current Price]]-undervalued_trades[[#This Row],[Avg Price]])*SUMIF(undervalued_trades[Symbol],undervalued_trades[[#This Row],[Symbol]],undervalued_trades[Qty]),"")</f>
        <v>1191.7959999999998</v>
      </c>
      <c r="I5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59" spans="1:9" x14ac:dyDescent="0.25">
      <c r="A59" s="1">
        <v>45609.395821759259</v>
      </c>
      <c r="B59" t="s">
        <v>12</v>
      </c>
      <c r="C59">
        <v>50</v>
      </c>
      <c r="D59">
        <v>17.809999999999999</v>
      </c>
      <c r="E59">
        <v>-890.49999999999989</v>
      </c>
      <c r="F59" s="2">
        <f>IFERROR(-SUMIF(undervalued_trades[Symbol],undervalued_trades[[#This Row],[Symbol]],undervalued_trades[Cost &amp; Gain])/SUMIF(undervalued_trades[Symbol],undervalued_trades[[#This Row],[Symbol]],undervalued_trades[Qty]),"")</f>
        <v>19.813333333333333</v>
      </c>
      <c r="G59" s="2">
        <f>RTD("tos.rtd", , "LAST", undervalued_trades[[#This Row],[Symbol]])</f>
        <v>27.19</v>
      </c>
      <c r="H59" s="2">
        <f>IFERROR((undervalued_trades[[#This Row],[Current Price]]-undervalued_trades[[#This Row],[Avg Price]])*SUMIF(undervalued_trades[Symbol],undervalued_trades[[#This Row],[Symbol]],undervalued_trades[Qty]),"")</f>
        <v>1106.5000000000002</v>
      </c>
      <c r="I5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0" spans="1:9" x14ac:dyDescent="0.25">
      <c r="A60" s="1">
        <v>45747.362372685187</v>
      </c>
      <c r="B60" t="s">
        <v>12</v>
      </c>
      <c r="C60">
        <v>50</v>
      </c>
      <c r="D60">
        <v>21</v>
      </c>
      <c r="E60">
        <v>-1050</v>
      </c>
      <c r="F60" s="2">
        <f>IFERROR(-SUMIF(undervalued_trades[Symbol],undervalued_trades[[#This Row],[Symbol]],undervalued_trades[Cost &amp; Gain])/SUMIF(undervalued_trades[Symbol],undervalued_trades[[#This Row],[Symbol]],undervalued_trades[Qty]),"")</f>
        <v>19.813333333333333</v>
      </c>
      <c r="G60" s="2">
        <f>RTD("tos.rtd", , "LAST", undervalued_trades[[#This Row],[Symbol]])</f>
        <v>27.19</v>
      </c>
      <c r="H60" s="2">
        <f>IFERROR((undervalued_trades[[#This Row],[Current Price]]-undervalued_trades[[#This Row],[Avg Price]])*SUMIF(undervalued_trades[Symbol],undervalued_trades[[#This Row],[Symbol]],undervalued_trades[Qty]),"")</f>
        <v>1106.5000000000002</v>
      </c>
      <c r="I6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1" spans="1:9" x14ac:dyDescent="0.25">
      <c r="A61" s="1">
        <v>45817.461053240739</v>
      </c>
      <c r="B61" t="s">
        <v>12</v>
      </c>
      <c r="C61">
        <v>50</v>
      </c>
      <c r="D61">
        <v>20.63</v>
      </c>
      <c r="E61">
        <v>-1031.5</v>
      </c>
      <c r="F61" s="2">
        <f>IFERROR(-SUMIF(undervalued_trades[Symbol],undervalued_trades[[#This Row],[Symbol]],undervalued_trades[Cost &amp; Gain])/SUMIF(undervalued_trades[Symbol],undervalued_trades[[#This Row],[Symbol]],undervalued_trades[Qty]),"")</f>
        <v>19.813333333333333</v>
      </c>
      <c r="G61" s="2">
        <f>RTD("tos.rtd", , "LAST", undervalued_trades[[#This Row],[Symbol]])</f>
        <v>27.19</v>
      </c>
      <c r="H61" s="2">
        <f>IFERROR((undervalued_trades[[#This Row],[Current Price]]-undervalued_trades[[#This Row],[Avg Price]])*SUMIF(undervalued_trades[Symbol],undervalued_trades[[#This Row],[Symbol]],undervalued_trades[Qty]),"")</f>
        <v>1106.5000000000002</v>
      </c>
      <c r="I6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2" spans="1:9" x14ac:dyDescent="0.25">
      <c r="A62" s="1">
        <v>45831.396608796298</v>
      </c>
      <c r="B62" t="s">
        <v>54</v>
      </c>
      <c r="C62">
        <v>20</v>
      </c>
      <c r="D62">
        <v>46</v>
      </c>
      <c r="E62">
        <v>-920</v>
      </c>
      <c r="F62" s="2">
        <f>IFERROR(-SUMIF(undervalued_trades[Symbol],undervalued_trades[[#This Row],[Symbol]],undervalued_trades[Cost &amp; Gain])/SUMIF(undervalued_trades[Symbol],undervalued_trades[[#This Row],[Symbol]],undervalued_trades[Qty]),"")</f>
        <v>46</v>
      </c>
      <c r="G62" s="2">
        <f>RTD("tos.rtd", , "LAST", undervalued_trades[[#This Row],[Symbol]])</f>
        <v>40.56</v>
      </c>
      <c r="H62" s="2">
        <f>IFERROR((undervalued_trades[[#This Row],[Current Price]]-undervalued_trades[[#This Row],[Avg Price]])*SUMIF(undervalued_trades[Symbol],undervalued_trades[[#This Row],[Symbol]],undervalued_trades[Qty]),"")</f>
        <v>-108.79999999999995</v>
      </c>
      <c r="I6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3" spans="1:9" x14ac:dyDescent="0.25">
      <c r="A63" s="1">
        <v>45747.31521990741</v>
      </c>
      <c r="B63" t="s">
        <v>24</v>
      </c>
      <c r="C63">
        <v>10</v>
      </c>
      <c r="D63">
        <v>92</v>
      </c>
      <c r="E63">
        <v>-920</v>
      </c>
      <c r="F63" s="2">
        <f>IFERROR(-SUMIF(undervalued_trades[Symbol],undervalued_trades[[#This Row],[Symbol]],undervalued_trades[Cost &amp; Gain])/SUMIF(undervalued_trades[Symbol],undervalued_trades[[#This Row],[Symbol]],undervalued_trades[Qty]),"")</f>
        <v>92</v>
      </c>
      <c r="G63" s="2">
        <f>RTD("tos.rtd", , "LAST", undervalued_trades[[#This Row],[Symbol]])</f>
        <v>87.2</v>
      </c>
      <c r="H63" s="2">
        <f>IFERROR((undervalued_trades[[#This Row],[Current Price]]-undervalued_trades[[#This Row],[Avg Price]])*SUMIF(undervalued_trades[Symbol],undervalued_trades[[#This Row],[Symbol]],undervalued_trades[Qty]),"")</f>
        <v>-47.999999999999972</v>
      </c>
      <c r="I6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4" spans="1:9" x14ac:dyDescent="0.25">
      <c r="A64" s="1">
        <v>45580.291666666664</v>
      </c>
      <c r="B64" t="s">
        <v>8</v>
      </c>
      <c r="C64">
        <v>270</v>
      </c>
      <c r="D64">
        <v>3.47</v>
      </c>
      <c r="E64">
        <v>-936.90000000000009</v>
      </c>
      <c r="F64" s="2">
        <f>IFERROR(-SUMIF(undervalued_trades[Symbol],undervalued_trades[[#This Row],[Symbol]],undervalued_trades[Cost &amp; Gain])/SUMIF(undervalued_trades[Symbol],undervalued_trades[[#This Row],[Symbol]],undervalued_trades[Qty]),"")</f>
        <v>3.47</v>
      </c>
      <c r="G64" s="2">
        <f>RTD("tos.rtd", , "LAST", undervalued_trades[[#This Row],[Symbol]])</f>
        <v>3.7349999999999999</v>
      </c>
      <c r="H64" s="2">
        <f>IFERROR((undervalued_trades[[#This Row],[Current Price]]-undervalued_trades[[#This Row],[Avg Price]])*SUMIF(undervalued_trades[Symbol],undervalued_trades[[#This Row],[Symbol]],undervalued_trades[Qty]),"")</f>
        <v>71.549999999999912</v>
      </c>
      <c r="I6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5" spans="1:9" x14ac:dyDescent="0.25">
      <c r="A65" s="1">
        <v>45782.670138888891</v>
      </c>
      <c r="B65" t="s">
        <v>45</v>
      </c>
      <c r="C65">
        <v>60</v>
      </c>
      <c r="D65">
        <v>16</v>
      </c>
      <c r="E65">
        <v>-960</v>
      </c>
      <c r="F65" s="2">
        <f>IFERROR(-SUMIF(undervalued_trades[Symbol],undervalued_trades[[#This Row],[Symbol]],undervalued_trades[Cost &amp; Gain])/SUMIF(undervalued_trades[Symbol],undervalued_trades[[#This Row],[Symbol]],undervalued_trades[Qty]),"")</f>
        <v>16</v>
      </c>
      <c r="G65" s="2">
        <f>RTD("tos.rtd", , "LAST", undervalued_trades[[#This Row],[Symbol]])</f>
        <v>20.254999999999999</v>
      </c>
      <c r="H65" s="2">
        <f>IFERROR((undervalued_trades[[#This Row],[Current Price]]-undervalued_trades[[#This Row],[Avg Price]])*SUMIF(undervalued_trades[Symbol],undervalued_trades[[#This Row],[Symbol]],undervalued_trades[Qty]),"")</f>
        <v>255.29999999999995</v>
      </c>
      <c r="I6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6" spans="1:9" x14ac:dyDescent="0.25">
      <c r="A66" s="1">
        <v>45663.392731481479</v>
      </c>
      <c r="B66" t="s">
        <v>14</v>
      </c>
      <c r="C66">
        <v>90</v>
      </c>
      <c r="D66">
        <v>7.18</v>
      </c>
      <c r="E66">
        <v>-646.19999999999993</v>
      </c>
      <c r="F66" s="2">
        <f>IFERROR(-SUMIF(undervalued_trades[Symbol],undervalued_trades[[#This Row],[Symbol]],undervalued_trades[Cost &amp; Gain])/SUMIF(undervalued_trades[Symbol],undervalued_trades[[#This Row],[Symbol]],undervalued_trades[Qty]),"")</f>
        <v>7.1799999999999979</v>
      </c>
      <c r="G66" s="2">
        <f>RTD("tos.rtd", , "LAST", undervalued_trades[[#This Row],[Symbol]])</f>
        <v>7.0149999999999997</v>
      </c>
      <c r="H66" s="2">
        <f>IFERROR((undervalued_trades[[#This Row],[Current Price]]-undervalued_trades[[#This Row],[Avg Price]])*SUMIF(undervalued_trades[Symbol],undervalued_trades[[#This Row],[Symbol]],undervalued_trades[Qty]),"")</f>
        <v>-21.449999999999775</v>
      </c>
      <c r="I6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7" spans="1:9" x14ac:dyDescent="0.25">
      <c r="A67" s="1">
        <v>45663.299363425926</v>
      </c>
      <c r="B67" t="s">
        <v>14</v>
      </c>
      <c r="C67">
        <v>10</v>
      </c>
      <c r="D67">
        <v>7.18</v>
      </c>
      <c r="E67">
        <v>-71.8</v>
      </c>
      <c r="F67" s="2">
        <f>IFERROR(-SUMIF(undervalued_trades[Symbol],undervalued_trades[[#This Row],[Symbol]],undervalued_trades[Cost &amp; Gain])/SUMIF(undervalued_trades[Symbol],undervalued_trades[[#This Row],[Symbol]],undervalued_trades[Qty]),"")</f>
        <v>7.1799999999999979</v>
      </c>
      <c r="G67" s="2">
        <f>RTD("tos.rtd", , "LAST", undervalued_trades[[#This Row],[Symbol]])</f>
        <v>7.0149999999999997</v>
      </c>
      <c r="H67" s="2">
        <f>IFERROR((undervalued_trades[[#This Row],[Current Price]]-undervalued_trades[[#This Row],[Avg Price]])*SUMIF(undervalued_trades[Symbol],undervalued_trades[[#This Row],[Symbol]],undervalued_trades[Qty]),"")</f>
        <v>-21.449999999999775</v>
      </c>
      <c r="I6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8" spans="1:9" x14ac:dyDescent="0.25">
      <c r="A68" s="1">
        <v>45663.301111111112</v>
      </c>
      <c r="B68" t="s">
        <v>14</v>
      </c>
      <c r="C68">
        <v>10</v>
      </c>
      <c r="D68">
        <v>7.18</v>
      </c>
      <c r="E68">
        <v>-71.8</v>
      </c>
      <c r="F68" s="2">
        <f>IFERROR(-SUMIF(undervalued_trades[Symbol],undervalued_trades[[#This Row],[Symbol]],undervalued_trades[Cost &amp; Gain])/SUMIF(undervalued_trades[Symbol],undervalued_trades[[#This Row],[Symbol]],undervalued_trades[Qty]),"")</f>
        <v>7.1799999999999979</v>
      </c>
      <c r="G68" s="2">
        <f>RTD("tos.rtd", , "LAST", undervalued_trades[[#This Row],[Symbol]])</f>
        <v>7.0149999999999997</v>
      </c>
      <c r="H68" s="2">
        <f>IFERROR((undervalued_trades[[#This Row],[Current Price]]-undervalued_trades[[#This Row],[Avg Price]])*SUMIF(undervalued_trades[Symbol],undervalued_trades[[#This Row],[Symbol]],undervalued_trades[Qty]),"")</f>
        <v>-21.449999999999775</v>
      </c>
      <c r="I6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69" spans="1:9" x14ac:dyDescent="0.25">
      <c r="A69" s="1">
        <v>45663.309421296297</v>
      </c>
      <c r="B69" t="s">
        <v>14</v>
      </c>
      <c r="C69">
        <v>10</v>
      </c>
      <c r="D69">
        <v>7.18</v>
      </c>
      <c r="E69">
        <v>-71.8</v>
      </c>
      <c r="F69" s="2">
        <f>IFERROR(-SUMIF(undervalued_trades[Symbol],undervalued_trades[[#This Row],[Symbol]],undervalued_trades[Cost &amp; Gain])/SUMIF(undervalued_trades[Symbol],undervalued_trades[[#This Row],[Symbol]],undervalued_trades[Qty]),"")</f>
        <v>7.1799999999999979</v>
      </c>
      <c r="G69" s="2">
        <f>RTD("tos.rtd", , "LAST", undervalued_trades[[#This Row],[Symbol]])</f>
        <v>7.0149999999999997</v>
      </c>
      <c r="H69" s="2">
        <f>IFERROR((undervalued_trades[[#This Row],[Current Price]]-undervalued_trades[[#This Row],[Avg Price]])*SUMIF(undervalued_trades[Symbol],undervalued_trades[[#This Row],[Symbol]],undervalued_trades[Qty]),"")</f>
        <v>-21.449999999999775</v>
      </c>
      <c r="I6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0" spans="1:9" x14ac:dyDescent="0.25">
      <c r="A70" s="1">
        <v>45663.301377314812</v>
      </c>
      <c r="B70" t="s">
        <v>14</v>
      </c>
      <c r="C70">
        <v>10</v>
      </c>
      <c r="D70">
        <v>7.18</v>
      </c>
      <c r="E70">
        <v>-71.8</v>
      </c>
      <c r="F70" s="2">
        <f>IFERROR(-SUMIF(undervalued_trades[Symbol],undervalued_trades[[#This Row],[Symbol]],undervalued_trades[Cost &amp; Gain])/SUMIF(undervalued_trades[Symbol],undervalued_trades[[#This Row],[Symbol]],undervalued_trades[Qty]),"")</f>
        <v>7.1799999999999979</v>
      </c>
      <c r="G70" s="2">
        <f>RTD("tos.rtd", , "LAST", undervalued_trades[[#This Row],[Symbol]])</f>
        <v>7.0149999999999997</v>
      </c>
      <c r="H70" s="2">
        <f>IFERROR((undervalued_trades[[#This Row],[Current Price]]-undervalued_trades[[#This Row],[Avg Price]])*SUMIF(undervalued_trades[Symbol],undervalued_trades[[#This Row],[Symbol]],undervalued_trades[Qty]),"")</f>
        <v>-21.449999999999775</v>
      </c>
      <c r="I7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1" spans="1:9" x14ac:dyDescent="0.25">
      <c r="A71" s="1">
        <v>45663.395833333336</v>
      </c>
      <c r="B71" t="s">
        <v>105</v>
      </c>
      <c r="C71">
        <v>10</v>
      </c>
      <c r="D71">
        <v>428</v>
      </c>
      <c r="E71">
        <v>-4280</v>
      </c>
      <c r="F71" s="2" t="str">
        <f>IFERROR(-SUMIF(undervalued_trades[Symbol],undervalued_trades[[#This Row],[Symbol]],undervalued_trades[Cost &amp; Gain])/SUMIF(undervalued_trades[Symbol],undervalued_trades[[#This Row],[Symbol]],undervalued_trades[Qty]),"")</f>
        <v/>
      </c>
      <c r="G71" s="2">
        <f>RTD("tos.rtd", , "LAST", undervalued_trades[[#This Row],[Symbol]])</f>
        <v>474.79500000000002</v>
      </c>
      <c r="H71" s="2" t="str">
        <f>IFERROR((undervalued_trades[[#This Row],[Current Price]]-undervalued_trades[[#This Row],[Avg Price]])*SUMIF(undervalued_trades[Symbol],undervalued_trades[[#This Row],[Symbol]],undervalued_trades[Qty]),"")</f>
        <v/>
      </c>
      <c r="I7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2" spans="1:9" x14ac:dyDescent="0.25">
      <c r="A72" s="1">
        <v>45937.395833333336</v>
      </c>
      <c r="B72" t="s">
        <v>105</v>
      </c>
      <c r="C72">
        <v>-10</v>
      </c>
      <c r="D72">
        <v>528.20000000000005</v>
      </c>
      <c r="E72">
        <v>5282</v>
      </c>
      <c r="F72" s="2" t="str">
        <f>IFERROR(-SUMIF(undervalued_trades[Symbol],undervalued_trades[[#This Row],[Symbol]],undervalued_trades[Cost &amp; Gain])/SUMIF(undervalued_trades[Symbol],undervalued_trades[[#This Row],[Symbol]],undervalued_trades[Qty]),"")</f>
        <v/>
      </c>
      <c r="G72" s="2">
        <f>RTD("tos.rtd", , "LAST", undervalued_trades[[#This Row],[Symbol]])</f>
        <v>474.79500000000002</v>
      </c>
      <c r="H72" s="2" t="str">
        <f>IFERROR((undervalued_trades[[#This Row],[Current Price]]-undervalued_trades[[#This Row],[Avg Price]])*SUMIF(undervalued_trades[Symbol],undervalued_trades[[#This Row],[Symbol]],undervalued_trades[Qty]),"")</f>
        <v/>
      </c>
      <c r="I72" s="2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>1002</v>
      </c>
    </row>
    <row r="73" spans="1:9" x14ac:dyDescent="0.25">
      <c r="A73" s="1">
        <v>45902.395844907405</v>
      </c>
      <c r="B73" t="s">
        <v>36</v>
      </c>
      <c r="C73">
        <v>20</v>
      </c>
      <c r="D73">
        <v>39</v>
      </c>
      <c r="E73">
        <v>-780</v>
      </c>
      <c r="F73" s="2">
        <f>IFERROR(-SUMIF(undervalued_trades[Symbol],undervalued_trades[[#This Row],[Symbol]],undervalued_trades[Cost &amp; Gain])/SUMIF(undervalued_trades[Symbol],undervalued_trades[[#This Row],[Symbol]],undervalued_trades[Qty]),"")</f>
        <v>35.4</v>
      </c>
      <c r="G73" s="2">
        <f>RTD("tos.rtd", , "LAST", undervalued_trades[[#This Row],[Symbol]])</f>
        <v>38</v>
      </c>
      <c r="H73" s="2">
        <f>IFERROR((undervalued_trades[[#This Row],[Current Price]]-undervalued_trades[[#This Row],[Avg Price]])*SUMIF(undervalued_trades[Symbol],undervalued_trades[[#This Row],[Symbol]],undervalued_trades[Qty]),"")</f>
        <v>130.00000000000006</v>
      </c>
      <c r="I7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4" spans="1:9" x14ac:dyDescent="0.25">
      <c r="A74" s="1">
        <v>45754.395833333336</v>
      </c>
      <c r="B74" t="s">
        <v>36</v>
      </c>
      <c r="C74">
        <v>30</v>
      </c>
      <c r="D74">
        <v>33</v>
      </c>
      <c r="E74">
        <v>-990</v>
      </c>
      <c r="F74" s="2">
        <f>IFERROR(-SUMIF(undervalued_trades[Symbol],undervalued_trades[[#This Row],[Symbol]],undervalued_trades[Cost &amp; Gain])/SUMIF(undervalued_trades[Symbol],undervalued_trades[[#This Row],[Symbol]],undervalued_trades[Qty]),"")</f>
        <v>35.4</v>
      </c>
      <c r="G74" s="2">
        <f>RTD("tos.rtd", , "LAST", undervalued_trades[[#This Row],[Symbol]])</f>
        <v>38</v>
      </c>
      <c r="H74" s="2">
        <f>IFERROR((undervalued_trades[[#This Row],[Current Price]]-undervalued_trades[[#This Row],[Avg Price]])*SUMIF(undervalued_trades[Symbol],undervalued_trades[[#This Row],[Symbol]],undervalued_trades[Qty]),"")</f>
        <v>130.00000000000006</v>
      </c>
      <c r="I7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5" spans="1:9" x14ac:dyDescent="0.25">
      <c r="A75" s="1">
        <v>45937.395833333336</v>
      </c>
      <c r="B75" t="s">
        <v>67</v>
      </c>
      <c r="C75">
        <v>10</v>
      </c>
      <c r="D75">
        <v>78.34</v>
      </c>
      <c r="E75">
        <v>-783.40000000000009</v>
      </c>
      <c r="F75" s="2">
        <f>IFERROR(-SUMIF(undervalued_trades[Symbol],undervalued_trades[[#This Row],[Symbol]],undervalued_trades[Cost &amp; Gain])/SUMIF(undervalued_trades[Symbol],undervalued_trades[[#This Row],[Symbol]],undervalued_trades[Qty]),"")</f>
        <v>78.34</v>
      </c>
      <c r="G75" s="2">
        <f>RTD("tos.rtd", , "LAST", undervalued_trades[[#This Row],[Symbol]])</f>
        <v>87.305000000000007</v>
      </c>
      <c r="H75" s="2">
        <f>IFERROR((undervalued_trades[[#This Row],[Current Price]]-undervalued_trades[[#This Row],[Avg Price]])*SUMIF(undervalued_trades[Symbol],undervalued_trades[[#This Row],[Symbol]],undervalued_trades[Qty]),"")</f>
        <v>89.650000000000034</v>
      </c>
      <c r="I7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6" spans="1:9" x14ac:dyDescent="0.25">
      <c r="A76" s="1">
        <v>45744.442199074074</v>
      </c>
      <c r="B76" t="s">
        <v>20</v>
      </c>
      <c r="C76">
        <v>20</v>
      </c>
      <c r="D76">
        <v>42</v>
      </c>
      <c r="E76">
        <v>-840</v>
      </c>
      <c r="F76" s="2">
        <f>IFERROR(-SUMIF(undervalued_trades[Symbol],undervalued_trades[[#This Row],[Symbol]],undervalued_trades[Cost &amp; Gain])/SUMIF(undervalued_trades[Symbol],undervalued_trades[[#This Row],[Symbol]],undervalued_trades[Qty]),"")</f>
        <v>42</v>
      </c>
      <c r="G76" s="2">
        <f>RTD("tos.rtd", , "LAST", undervalued_trades[[#This Row],[Symbol]])</f>
        <v>47.92</v>
      </c>
      <c r="H76" s="2">
        <f>IFERROR((undervalued_trades[[#This Row],[Current Price]]-undervalued_trades[[#This Row],[Avg Price]])*SUMIF(undervalued_trades[Symbol],undervalued_trades[[#This Row],[Symbol]],undervalued_trades[Qty]),"")</f>
        <v>236.80000000000007</v>
      </c>
      <c r="I7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7" spans="1:9" x14ac:dyDescent="0.25">
      <c r="A77" s="1">
        <v>45807.399710648147</v>
      </c>
      <c r="B77" t="s">
        <v>20</v>
      </c>
      <c r="C77">
        <v>20</v>
      </c>
      <c r="D77">
        <v>42</v>
      </c>
      <c r="E77">
        <v>-840</v>
      </c>
      <c r="F77" s="2">
        <f>IFERROR(-SUMIF(undervalued_trades[Symbol],undervalued_trades[[#This Row],[Symbol]],undervalued_trades[Cost &amp; Gain])/SUMIF(undervalued_trades[Symbol],undervalued_trades[[#This Row],[Symbol]],undervalued_trades[Qty]),"")</f>
        <v>42</v>
      </c>
      <c r="G77" s="2">
        <f>RTD("tos.rtd", , "LAST", undervalued_trades[[#This Row],[Symbol]])</f>
        <v>47.92</v>
      </c>
      <c r="H77" s="2">
        <f>IFERROR((undervalued_trades[[#This Row],[Current Price]]-undervalued_trades[[#This Row],[Avg Price]])*SUMIF(undervalued_trades[Symbol],undervalued_trades[[#This Row],[Symbol]],undervalued_trades[Qty]),"")</f>
        <v>236.80000000000007</v>
      </c>
      <c r="I7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8" spans="1:9" x14ac:dyDescent="0.25">
      <c r="A78" s="1">
        <v>45751.310370370367</v>
      </c>
      <c r="B78" t="s">
        <v>32</v>
      </c>
      <c r="C78">
        <v>20</v>
      </c>
      <c r="D78">
        <v>36.619999999999997</v>
      </c>
      <c r="E78">
        <v>-732.4</v>
      </c>
      <c r="F78" s="2">
        <f>IFERROR(-SUMIF(undervalued_trades[Symbol],undervalued_trades[[#This Row],[Symbol]],undervalued_trades[Cost &amp; Gain])/SUMIF(undervalued_trades[Symbol],undervalued_trades[[#This Row],[Symbol]],undervalued_trades[Qty]),"")</f>
        <v>34.646000000000001</v>
      </c>
      <c r="G78" s="2">
        <f>RTD("tos.rtd", , "LAST", undervalued_trades[[#This Row],[Symbol]])</f>
        <v>39.56</v>
      </c>
      <c r="H78" s="2">
        <f>IFERROR((undervalued_trades[[#This Row],[Current Price]]-undervalued_trades[[#This Row],[Avg Price]])*SUMIF(undervalued_trades[Symbol],undervalued_trades[[#This Row],[Symbol]],undervalued_trades[Qty]),"")</f>
        <v>245.70000000000007</v>
      </c>
      <c r="I7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79" spans="1:9" x14ac:dyDescent="0.25">
      <c r="A79" s="1">
        <v>45784.590578703705</v>
      </c>
      <c r="B79" t="s">
        <v>32</v>
      </c>
      <c r="C79">
        <v>30</v>
      </c>
      <c r="D79">
        <v>33.33</v>
      </c>
      <c r="E79">
        <v>-999.9</v>
      </c>
      <c r="F79" s="2">
        <f>IFERROR(-SUMIF(undervalued_trades[Symbol],undervalued_trades[[#This Row],[Symbol]],undervalued_trades[Cost &amp; Gain])/SUMIF(undervalued_trades[Symbol],undervalued_trades[[#This Row],[Symbol]],undervalued_trades[Qty]),"")</f>
        <v>34.646000000000001</v>
      </c>
      <c r="G79" s="2">
        <f>RTD("tos.rtd", , "LAST", undervalued_trades[[#This Row],[Symbol]])</f>
        <v>39.56</v>
      </c>
      <c r="H79" s="2">
        <f>IFERROR((undervalued_trades[[#This Row],[Current Price]]-undervalued_trades[[#This Row],[Avg Price]])*SUMIF(undervalued_trades[Symbol],undervalued_trades[[#This Row],[Symbol]],undervalued_trades[Qty]),"")</f>
        <v>245.70000000000007</v>
      </c>
      <c r="I7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0" spans="1:9" x14ac:dyDescent="0.25">
      <c r="A80" s="1">
        <v>45937.395844907405</v>
      </c>
      <c r="B80" t="s">
        <v>53</v>
      </c>
      <c r="C80">
        <v>10</v>
      </c>
      <c r="D80">
        <v>134.49</v>
      </c>
      <c r="E80">
        <v>-1344.9</v>
      </c>
      <c r="F80" s="2">
        <f>IFERROR(-SUMIF(undervalued_trades[Symbol],undervalued_trades[[#This Row],[Symbol]],undervalued_trades[Cost &amp; Gain])/SUMIF(undervalued_trades[Symbol],undervalued_trades[[#This Row],[Symbol]],undervalued_trades[Qty]),"")</f>
        <v>115.245</v>
      </c>
      <c r="G80" s="2">
        <f>RTD("tos.rtd", , "LAST", undervalued_trades[[#This Row],[Symbol]])</f>
        <v>113.64</v>
      </c>
      <c r="H80" s="2">
        <f>IFERROR((undervalued_trades[[#This Row],[Current Price]]-undervalued_trades[[#This Row],[Avg Price]])*SUMIF(undervalued_trades[Symbol],undervalued_trades[[#This Row],[Symbol]],undervalued_trades[Qty]),"")</f>
        <v>-32.10000000000008</v>
      </c>
      <c r="I8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1" spans="1:9" x14ac:dyDescent="0.25">
      <c r="A81" s="1">
        <v>45810.396203703705</v>
      </c>
      <c r="B81" t="s">
        <v>53</v>
      </c>
      <c r="C81">
        <v>10</v>
      </c>
      <c r="D81">
        <v>96</v>
      </c>
      <c r="E81">
        <v>-960</v>
      </c>
      <c r="F81" s="2">
        <f>IFERROR(-SUMIF(undervalued_trades[Symbol],undervalued_trades[[#This Row],[Symbol]],undervalued_trades[Cost &amp; Gain])/SUMIF(undervalued_trades[Symbol],undervalued_trades[[#This Row],[Symbol]],undervalued_trades[Qty]),"")</f>
        <v>115.245</v>
      </c>
      <c r="G81" s="2">
        <f>RTD("tos.rtd", , "LAST", undervalued_trades[[#This Row],[Symbol]])</f>
        <v>113.64</v>
      </c>
      <c r="H81" s="2">
        <f>IFERROR((undervalued_trades[[#This Row],[Current Price]]-undervalued_trades[[#This Row],[Avg Price]])*SUMIF(undervalued_trades[Symbol],undervalued_trades[[#This Row],[Symbol]],undervalued_trades[Qty]),"")</f>
        <v>-32.10000000000008</v>
      </c>
      <c r="I8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2" spans="1:9" x14ac:dyDescent="0.25">
      <c r="A82" s="1">
        <v>45636.500023148146</v>
      </c>
      <c r="B82" t="s">
        <v>13</v>
      </c>
      <c r="C82">
        <v>10</v>
      </c>
      <c r="D82">
        <v>60.98</v>
      </c>
      <c r="E82">
        <v>-609.79999999999995</v>
      </c>
      <c r="F82" s="2">
        <f>IFERROR(-SUMIF(undervalued_trades[Symbol],undervalued_trades[[#This Row],[Symbol]],undervalued_trades[Cost &amp; Gain])/SUMIF(undervalued_trades[Symbol],undervalued_trades[[#This Row],[Symbol]],undervalued_trades[Qty]),"")</f>
        <v>57.739999999999995</v>
      </c>
      <c r="G82" s="2">
        <f>RTD("tos.rtd", , "LAST", undervalued_trades[[#This Row],[Symbol]])</f>
        <v>58.45</v>
      </c>
      <c r="H82" s="2">
        <f>IFERROR((undervalued_trades[[#This Row],[Current Price]]-undervalued_trades[[#This Row],[Avg Price]])*SUMIF(undervalued_trades[Symbol],undervalued_trades[[#This Row],[Symbol]],undervalued_trades[Qty]),"")</f>
        <v>14.200000000000159</v>
      </c>
      <c r="I8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3" spans="1:9" x14ac:dyDescent="0.25">
      <c r="A83" s="1">
        <v>45700.781307870369</v>
      </c>
      <c r="B83" t="s">
        <v>13</v>
      </c>
      <c r="C83">
        <v>10</v>
      </c>
      <c r="D83">
        <v>54.5</v>
      </c>
      <c r="E83">
        <v>-545</v>
      </c>
      <c r="F83" s="2">
        <f>IFERROR(-SUMIF(undervalued_trades[Symbol],undervalued_trades[[#This Row],[Symbol]],undervalued_trades[Cost &amp; Gain])/SUMIF(undervalued_trades[Symbol],undervalued_trades[[#This Row],[Symbol]],undervalued_trades[Qty]),"")</f>
        <v>57.739999999999995</v>
      </c>
      <c r="G83" s="2">
        <f>RTD("tos.rtd", , "LAST", undervalued_trades[[#This Row],[Symbol]])</f>
        <v>58.45</v>
      </c>
      <c r="H83" s="2">
        <f>IFERROR((undervalued_trades[[#This Row],[Current Price]]-undervalued_trades[[#This Row],[Avg Price]])*SUMIF(undervalued_trades[Symbol],undervalued_trades[[#This Row],[Symbol]],undervalued_trades[Qty]),"")</f>
        <v>14.200000000000159</v>
      </c>
      <c r="I8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4" spans="1:9" x14ac:dyDescent="0.25">
      <c r="A84" s="1">
        <v>45810.291678240741</v>
      </c>
      <c r="B84" t="s">
        <v>51</v>
      </c>
      <c r="C84">
        <v>10</v>
      </c>
      <c r="D84">
        <v>98.03</v>
      </c>
      <c r="E84">
        <v>-980.3</v>
      </c>
      <c r="F84" s="2">
        <f>IFERROR(-SUMIF(undervalued_trades[Symbol],undervalued_trades[[#This Row],[Symbol]],undervalued_trades[Cost &amp; Gain])/SUMIF(undervalued_trades[Symbol],undervalued_trades[[#This Row],[Symbol]],undervalued_trades[Qty]),"")</f>
        <v>115.28</v>
      </c>
      <c r="G84" s="2">
        <f>RTD("tos.rtd", , "LAST", undervalued_trades[[#This Row],[Symbol]])</f>
        <v>119.6</v>
      </c>
      <c r="H84" s="2">
        <f>IFERROR((undervalued_trades[[#This Row],[Current Price]]-undervalued_trades[[#This Row],[Avg Price]])*SUMIF(undervalued_trades[Symbol],undervalued_trades[[#This Row],[Symbol]],undervalued_trades[Qty]),"")</f>
        <v>86.399999999999864</v>
      </c>
      <c r="I8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5" spans="1:9" x14ac:dyDescent="0.25">
      <c r="A85" s="1">
        <v>45937.395844907405</v>
      </c>
      <c r="B85" t="s">
        <v>51</v>
      </c>
      <c r="C85">
        <v>10</v>
      </c>
      <c r="D85">
        <v>132.53</v>
      </c>
      <c r="E85">
        <v>-1325.3</v>
      </c>
      <c r="F85" s="2">
        <f>IFERROR(-SUMIF(undervalued_trades[Symbol],undervalued_trades[[#This Row],[Symbol]],undervalued_trades[Cost &amp; Gain])/SUMIF(undervalued_trades[Symbol],undervalued_trades[[#This Row],[Symbol]],undervalued_trades[Qty]),"")</f>
        <v>115.28</v>
      </c>
      <c r="G85" s="2">
        <f>RTD("tos.rtd", , "LAST", undervalued_trades[[#This Row],[Symbol]])</f>
        <v>119.6</v>
      </c>
      <c r="H85" s="2">
        <f>IFERROR((undervalued_trades[[#This Row],[Current Price]]-undervalued_trades[[#This Row],[Avg Price]])*SUMIF(undervalued_trades[Symbol],undervalued_trades[[#This Row],[Symbol]],undervalued_trades[Qty]),"")</f>
        <v>86.399999999999864</v>
      </c>
      <c r="I8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6" spans="1:9" x14ac:dyDescent="0.25">
      <c r="A86" s="1">
        <v>45902.395879629628</v>
      </c>
      <c r="B86" t="s">
        <v>64</v>
      </c>
      <c r="C86">
        <v>20</v>
      </c>
      <c r="D86">
        <v>42.14</v>
      </c>
      <c r="E86">
        <v>-842.8</v>
      </c>
      <c r="F86" s="2">
        <f>IFERROR(-SUMIF(undervalued_trades[Symbol],undervalued_trades[[#This Row],[Symbol]],undervalued_trades[Cost &amp; Gain])/SUMIF(undervalued_trades[Symbol],undervalued_trades[[#This Row],[Symbol]],undervalued_trades[Qty]),"")</f>
        <v>42.14</v>
      </c>
      <c r="G86" s="2">
        <f>RTD("tos.rtd", , "LAST", undervalued_trades[[#This Row],[Symbol]])</f>
        <v>46.765000000000001</v>
      </c>
      <c r="H86" s="2">
        <f>IFERROR((undervalued_trades[[#This Row],[Current Price]]-undervalued_trades[[#This Row],[Avg Price]])*SUMIF(undervalued_trades[Symbol],undervalued_trades[[#This Row],[Symbol]],undervalued_trades[Qty]),"")</f>
        <v>92.5</v>
      </c>
      <c r="I8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7" spans="1:9" x14ac:dyDescent="0.25">
      <c r="A87" s="1">
        <v>45810.395925925928</v>
      </c>
      <c r="B87" t="s">
        <v>23</v>
      </c>
      <c r="C87">
        <v>90</v>
      </c>
      <c r="D87">
        <v>9.93</v>
      </c>
      <c r="E87">
        <v>-893.69999999999993</v>
      </c>
      <c r="F87" s="2">
        <f>IFERROR(-SUMIF(undervalued_trades[Symbol],undervalued_trades[[#This Row],[Symbol]],undervalued_trades[Cost &amp; Gain])/SUMIF(undervalued_trades[Symbol],undervalued_trades[[#This Row],[Symbol]],undervalued_trades[Qty]),"")</f>
        <v>10.449107142857143</v>
      </c>
      <c r="G87" s="2">
        <f>RTD("tos.rtd", , "LAST", undervalued_trades[[#This Row],[Symbol]])</f>
        <v>8.67</v>
      </c>
      <c r="H87" s="2">
        <f>IFERROR((undervalued_trades[[#This Row],[Current Price]]-undervalued_trades[[#This Row],[Avg Price]])*SUMIF(undervalued_trades[Symbol],undervalued_trades[[#This Row],[Symbol]],undervalued_trades[Qty]),"")</f>
        <v>-498.15</v>
      </c>
      <c r="I8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8" spans="1:9" x14ac:dyDescent="0.25">
      <c r="A88" s="1">
        <v>45874.395844907405</v>
      </c>
      <c r="B88" t="s">
        <v>23</v>
      </c>
      <c r="C88">
        <v>90</v>
      </c>
      <c r="D88">
        <v>10.67</v>
      </c>
      <c r="E88">
        <v>-960.3</v>
      </c>
      <c r="F88" s="2">
        <f>IFERROR(-SUMIF(undervalued_trades[Symbol],undervalued_trades[[#This Row],[Symbol]],undervalued_trades[Cost &amp; Gain])/SUMIF(undervalued_trades[Symbol],undervalued_trades[[#This Row],[Symbol]],undervalued_trades[Qty]),"")</f>
        <v>10.449107142857143</v>
      </c>
      <c r="G88" s="2">
        <f>RTD("tos.rtd", , "LAST", undervalued_trades[[#This Row],[Symbol]])</f>
        <v>8.67</v>
      </c>
      <c r="H88" s="2">
        <f>IFERROR((undervalued_trades[[#This Row],[Current Price]]-undervalued_trades[[#This Row],[Avg Price]])*SUMIF(undervalued_trades[Symbol],undervalued_trades[[#This Row],[Symbol]],undervalued_trades[Qty]),"")</f>
        <v>-498.15</v>
      </c>
      <c r="I8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89" spans="1:9" x14ac:dyDescent="0.25">
      <c r="A89" s="1">
        <v>45747.291678240741</v>
      </c>
      <c r="B89" t="s">
        <v>23</v>
      </c>
      <c r="C89">
        <v>90</v>
      </c>
      <c r="D89">
        <v>10.805</v>
      </c>
      <c r="E89">
        <v>-972.44999999999993</v>
      </c>
      <c r="F89" s="2">
        <f>IFERROR(-SUMIF(undervalued_trades[Symbol],undervalued_trades[[#This Row],[Symbol]],undervalued_trades[Cost &amp; Gain])/SUMIF(undervalued_trades[Symbol],undervalued_trades[[#This Row],[Symbol]],undervalued_trades[Qty]),"")</f>
        <v>10.449107142857143</v>
      </c>
      <c r="G89" s="2">
        <f>RTD("tos.rtd", , "LAST", undervalued_trades[[#This Row],[Symbol]])</f>
        <v>8.67</v>
      </c>
      <c r="H89" s="2">
        <f>IFERROR((undervalued_trades[[#This Row],[Current Price]]-undervalued_trades[[#This Row],[Avg Price]])*SUMIF(undervalued_trades[Symbol],undervalued_trades[[#This Row],[Symbol]],undervalued_trades[Qty]),"")</f>
        <v>-498.15</v>
      </c>
      <c r="I8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0" spans="1:9" x14ac:dyDescent="0.25">
      <c r="A90" s="1">
        <v>45810.374930555554</v>
      </c>
      <c r="B90" t="s">
        <v>23</v>
      </c>
      <c r="C90">
        <v>10</v>
      </c>
      <c r="D90">
        <v>9.93</v>
      </c>
      <c r="E90">
        <v>-99.3</v>
      </c>
      <c r="F90" s="2">
        <f>IFERROR(-SUMIF(undervalued_trades[Symbol],undervalued_trades[[#This Row],[Symbol]],undervalued_trades[Cost &amp; Gain])/SUMIF(undervalued_trades[Symbol],undervalued_trades[[#This Row],[Symbol]],undervalued_trades[Qty]),"")</f>
        <v>10.449107142857143</v>
      </c>
      <c r="G90" s="2">
        <f>RTD("tos.rtd", , "LAST", undervalued_trades[[#This Row],[Symbol]])</f>
        <v>8.67</v>
      </c>
      <c r="H90" s="2">
        <f>IFERROR((undervalued_trades[[#This Row],[Current Price]]-undervalued_trades[[#This Row],[Avg Price]])*SUMIF(undervalued_trades[Symbol],undervalued_trades[[#This Row],[Symbol]],undervalued_trades[Qty]),"")</f>
        <v>-498.15</v>
      </c>
      <c r="I9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1" spans="1:9" x14ac:dyDescent="0.25">
      <c r="A91" s="1">
        <v>45810.397222222222</v>
      </c>
      <c r="B91" t="s">
        <v>27</v>
      </c>
      <c r="C91">
        <v>50</v>
      </c>
      <c r="D91">
        <v>19</v>
      </c>
      <c r="E91">
        <v>-950</v>
      </c>
      <c r="F91" s="2">
        <f>IFERROR(-SUMIF(undervalued_trades[Symbol],undervalued_trades[[#This Row],[Symbol]],undervalued_trades[Cost &amp; Gain])/SUMIF(undervalued_trades[Symbol],undervalued_trades[[#This Row],[Symbol]],undervalued_trades[Qty]),"")</f>
        <v>19</v>
      </c>
      <c r="G91" s="2">
        <f>RTD("tos.rtd", , "LAST", undervalued_trades[[#This Row],[Symbol]])</f>
        <v>16.045000000000002</v>
      </c>
      <c r="H91" s="2">
        <f>IFERROR((undervalued_trades[[#This Row],[Current Price]]-undervalued_trades[[#This Row],[Avg Price]])*SUMIF(undervalued_trades[Symbol],undervalued_trades[[#This Row],[Symbol]],undervalued_trades[Qty]),"")</f>
        <v>-443.24999999999977</v>
      </c>
      <c r="I9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2" spans="1:9" x14ac:dyDescent="0.25">
      <c r="A92" s="1">
        <v>45807.379004629627</v>
      </c>
      <c r="B92" t="s">
        <v>27</v>
      </c>
      <c r="C92">
        <v>50</v>
      </c>
      <c r="D92">
        <v>18</v>
      </c>
      <c r="E92">
        <v>-900</v>
      </c>
      <c r="F92" s="2">
        <f>IFERROR(-SUMIF(undervalued_trades[Symbol],undervalued_trades[[#This Row],[Symbol]],undervalued_trades[Cost &amp; Gain])/SUMIF(undervalued_trades[Symbol],undervalued_trades[[#This Row],[Symbol]],undervalued_trades[Qty]),"")</f>
        <v>19</v>
      </c>
      <c r="G92" s="2">
        <f>RTD("tos.rtd", , "LAST", undervalued_trades[[#This Row],[Symbol]])</f>
        <v>16.045000000000002</v>
      </c>
      <c r="H92" s="2">
        <f>IFERROR((undervalued_trades[[#This Row],[Current Price]]-undervalued_trades[[#This Row],[Avg Price]])*SUMIF(undervalued_trades[Symbol],undervalued_trades[[#This Row],[Symbol]],undervalued_trades[Qty]),"")</f>
        <v>-443.24999999999977</v>
      </c>
      <c r="I9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3" spans="1:9" x14ac:dyDescent="0.25">
      <c r="A93" s="1">
        <v>45750.417824074073</v>
      </c>
      <c r="B93" t="s">
        <v>27</v>
      </c>
      <c r="C93">
        <v>50</v>
      </c>
      <c r="D93">
        <v>20</v>
      </c>
      <c r="E93">
        <v>-1000</v>
      </c>
      <c r="F93" s="2">
        <f>IFERROR(-SUMIF(undervalued_trades[Symbol],undervalued_trades[[#This Row],[Symbol]],undervalued_trades[Cost &amp; Gain])/SUMIF(undervalued_trades[Symbol],undervalued_trades[[#This Row],[Symbol]],undervalued_trades[Qty]),"")</f>
        <v>19</v>
      </c>
      <c r="G93" s="2">
        <f>RTD("tos.rtd", , "LAST", undervalued_trades[[#This Row],[Symbol]])</f>
        <v>16.045000000000002</v>
      </c>
      <c r="H93" s="2">
        <f>IFERROR((undervalued_trades[[#This Row],[Current Price]]-undervalued_trades[[#This Row],[Avg Price]])*SUMIF(undervalued_trades[Symbol],undervalued_trades[[#This Row],[Symbol]],undervalued_trades[Qty]),"")</f>
        <v>-443.24999999999977</v>
      </c>
      <c r="I9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4" spans="1:9" x14ac:dyDescent="0.25">
      <c r="A94" s="1">
        <v>45782.291678240741</v>
      </c>
      <c r="B94" t="s">
        <v>37</v>
      </c>
      <c r="C94">
        <v>40</v>
      </c>
      <c r="D94">
        <v>22.52</v>
      </c>
      <c r="E94">
        <v>-900.8</v>
      </c>
      <c r="F94" s="2">
        <f>IFERROR(-SUMIF(undervalued_trades[Symbol],undervalued_trades[[#This Row],[Symbol]],undervalued_trades[Cost &amp; Gain])/SUMIF(undervalued_trades[Symbol],undervalued_trades[[#This Row],[Symbol]],undervalued_trades[Qty]),"")</f>
        <v>22.52</v>
      </c>
      <c r="G94" s="2">
        <f>RTD("tos.rtd", , "LAST", undervalued_trades[[#This Row],[Symbol]])</f>
        <v>21.41</v>
      </c>
      <c r="H94" s="2">
        <f>IFERROR((undervalued_trades[[#This Row],[Current Price]]-undervalued_trades[[#This Row],[Avg Price]])*SUMIF(undervalued_trades[Symbol],undervalued_trades[[#This Row],[Symbol]],undervalued_trades[Qty]),"")</f>
        <v>-44.399999999999977</v>
      </c>
      <c r="I9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5" spans="1:9" x14ac:dyDescent="0.25">
      <c r="A95" s="1">
        <v>45840.396608796298</v>
      </c>
      <c r="B95" t="s">
        <v>57</v>
      </c>
      <c r="C95">
        <v>60</v>
      </c>
      <c r="D95">
        <v>11.8</v>
      </c>
      <c r="E95">
        <v>-708</v>
      </c>
      <c r="F95" s="2">
        <f>IFERROR(-SUMIF(undervalued_trades[Symbol],undervalued_trades[[#This Row],[Symbol]],undervalued_trades[Cost &amp; Gain])/SUMIF(undervalued_trades[Symbol],undervalued_trades[[#This Row],[Symbol]],undervalued_trades[Qty]),"")</f>
        <v>11.8</v>
      </c>
      <c r="G95" s="2">
        <f>RTD("tos.rtd", , "LAST", undervalued_trades[[#This Row],[Symbol]])</f>
        <v>12.15</v>
      </c>
      <c r="H95" s="2">
        <f>IFERROR((undervalued_trades[[#This Row],[Current Price]]-undervalued_trades[[#This Row],[Avg Price]])*SUMIF(undervalued_trades[Symbol],undervalued_trades[[#This Row],[Symbol]],undervalued_trades[Qty]),"")</f>
        <v>20.999999999999979</v>
      </c>
      <c r="I9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6" spans="1:9" x14ac:dyDescent="0.25">
      <c r="A96" s="1">
        <v>45580.395729166667</v>
      </c>
      <c r="B96" t="s">
        <v>9</v>
      </c>
      <c r="C96">
        <v>60</v>
      </c>
      <c r="D96">
        <v>17</v>
      </c>
      <c r="E96">
        <v>-1020</v>
      </c>
      <c r="F96" s="2">
        <f>IFERROR(-SUMIF(undervalued_trades[Symbol],undervalued_trades[[#This Row],[Symbol]],undervalued_trades[Cost &amp; Gain])/SUMIF(undervalued_trades[Symbol],undervalued_trades[[#This Row],[Symbol]],undervalued_trades[Qty]),"")</f>
        <v>17</v>
      </c>
      <c r="G96" s="2">
        <f>RTD("tos.rtd", , "LAST", undervalued_trades[[#This Row],[Symbol]])</f>
        <v>7.19</v>
      </c>
      <c r="H96" s="2">
        <f>IFERROR((undervalued_trades[[#This Row],[Current Price]]-undervalued_trades[[#This Row],[Avg Price]])*SUMIF(undervalued_trades[Symbol],undervalued_trades[[#This Row],[Symbol]],undervalued_trades[Qty]),"")</f>
        <v>-588.59999999999991</v>
      </c>
      <c r="I9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7" spans="1:9" x14ac:dyDescent="0.25">
      <c r="A97" s="1">
        <v>45845.596875000003</v>
      </c>
      <c r="B97" t="s">
        <v>59</v>
      </c>
      <c r="C97">
        <v>20</v>
      </c>
      <c r="D97">
        <v>35.5</v>
      </c>
      <c r="E97">
        <v>-710</v>
      </c>
      <c r="F97" s="2">
        <f>IFERROR(-SUMIF(undervalued_trades[Symbol],undervalued_trades[[#This Row],[Symbol]],undervalued_trades[Cost &amp; Gain])/SUMIF(undervalued_trades[Symbol],undervalued_trades[[#This Row],[Symbol]],undervalued_trades[Qty]),"")</f>
        <v>35.5</v>
      </c>
      <c r="G97" s="2">
        <f>RTD("tos.rtd", , "LAST", undervalued_trades[[#This Row],[Symbol]])</f>
        <v>58.56</v>
      </c>
      <c r="H97" s="2">
        <f>IFERROR((undervalued_trades[[#This Row],[Current Price]]-undervalued_trades[[#This Row],[Avg Price]])*SUMIF(undervalued_trades[Symbol],undervalued_trades[[#This Row],[Symbol]],undervalued_trades[Qty]),"")</f>
        <v>461.20000000000005</v>
      </c>
      <c r="I9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8" spans="1:9" x14ac:dyDescent="0.25">
      <c r="A98" s="1">
        <v>45782.458761574075</v>
      </c>
      <c r="B98" t="s">
        <v>44</v>
      </c>
      <c r="C98">
        <v>20</v>
      </c>
      <c r="D98">
        <v>39.99</v>
      </c>
      <c r="E98">
        <v>-799.80000000000007</v>
      </c>
      <c r="F98" s="2">
        <f>IFERROR(-SUMIF(undervalued_trades[Symbol],undervalued_trades[[#This Row],[Symbol]],undervalued_trades[Cost &amp; Gain])/SUMIF(undervalued_trades[Symbol],undervalued_trades[[#This Row],[Symbol]],undervalued_trades[Qty]),"")</f>
        <v>39.99</v>
      </c>
      <c r="G98" s="2">
        <f>RTD("tos.rtd", , "LAST", undervalued_trades[[#This Row],[Symbol]])</f>
        <v>60.26</v>
      </c>
      <c r="H98" s="2">
        <f>IFERROR((undervalued_trades[[#This Row],[Current Price]]-undervalued_trades[[#This Row],[Avg Price]])*SUMIF(undervalued_trades[Symbol],undervalued_trades[[#This Row],[Symbol]],undervalued_trades[Qty]),"")</f>
        <v>405.39999999999992</v>
      </c>
      <c r="I9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99" spans="1:9" x14ac:dyDescent="0.25">
      <c r="A99" s="1">
        <v>45782.395844907405</v>
      </c>
      <c r="B99" t="s">
        <v>41</v>
      </c>
      <c r="C99">
        <v>20</v>
      </c>
      <c r="D99">
        <v>35.51</v>
      </c>
      <c r="E99">
        <v>-710.19999999999993</v>
      </c>
      <c r="F99" s="2">
        <f>IFERROR(-SUMIF(undervalued_trades[Symbol],undervalued_trades[[#This Row],[Symbol]],undervalued_trades[Cost &amp; Gain])/SUMIF(undervalued_trades[Symbol],undervalued_trades[[#This Row],[Symbol]],undervalued_trades[Qty]),"")</f>
        <v>38.464999999999996</v>
      </c>
      <c r="G99" s="2">
        <f>RTD("tos.rtd", , "LAST", undervalued_trades[[#This Row],[Symbol]])</f>
        <v>44.15</v>
      </c>
      <c r="H99" s="2">
        <f>IFERROR((undervalued_trades[[#This Row],[Current Price]]-undervalued_trades[[#This Row],[Avg Price]])*SUMIF(undervalued_trades[Symbol],undervalued_trades[[#This Row],[Symbol]],undervalued_trades[Qty]),"")</f>
        <v>227.40000000000009</v>
      </c>
      <c r="I9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0" spans="1:9" x14ac:dyDescent="0.25">
      <c r="A100" s="1">
        <v>45937.395856481482</v>
      </c>
      <c r="B100" t="s">
        <v>41</v>
      </c>
      <c r="C100">
        <v>20</v>
      </c>
      <c r="D100">
        <v>41.42</v>
      </c>
      <c r="E100">
        <v>-828.40000000000009</v>
      </c>
      <c r="F100" s="2">
        <f>IFERROR(-SUMIF(undervalued_trades[Symbol],undervalued_trades[[#This Row],[Symbol]],undervalued_trades[Cost &amp; Gain])/SUMIF(undervalued_trades[Symbol],undervalued_trades[[#This Row],[Symbol]],undervalued_trades[Qty]),"")</f>
        <v>38.464999999999996</v>
      </c>
      <c r="G100" s="2">
        <f>RTD("tos.rtd", , "LAST", undervalued_trades[[#This Row],[Symbol]])</f>
        <v>44.15</v>
      </c>
      <c r="H100" s="2">
        <f>IFERROR((undervalued_trades[[#This Row],[Current Price]]-undervalued_trades[[#This Row],[Avg Price]])*SUMIF(undervalued_trades[Symbol],undervalued_trades[[#This Row],[Symbol]],undervalued_trades[Qty]),"")</f>
        <v>227.40000000000009</v>
      </c>
      <c r="I10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1" spans="1:9" x14ac:dyDescent="0.25">
      <c r="A101" s="1">
        <v>45807.521608796298</v>
      </c>
      <c r="B101" t="s">
        <v>30</v>
      </c>
      <c r="C101">
        <v>60</v>
      </c>
      <c r="D101">
        <v>16.600000000000001</v>
      </c>
      <c r="E101">
        <v>-996.00000000000011</v>
      </c>
      <c r="F101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1" s="2">
        <f>RTD("tos.rtd", , "LAST", undervalued_trades[[#This Row],[Symbol]])</f>
        <v>19.225000000000001</v>
      </c>
      <c r="H101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2" spans="1:9" x14ac:dyDescent="0.25">
      <c r="A102" s="1">
        <v>45751.296539351853</v>
      </c>
      <c r="B102" t="s">
        <v>30</v>
      </c>
      <c r="C102">
        <v>50</v>
      </c>
      <c r="D102">
        <v>17</v>
      </c>
      <c r="E102">
        <v>-850</v>
      </c>
      <c r="F102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2" s="2">
        <f>RTD("tos.rtd", , "LAST", undervalued_trades[[#This Row],[Symbol]])</f>
        <v>19.225000000000001</v>
      </c>
      <c r="H102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3" spans="1:9" x14ac:dyDescent="0.25">
      <c r="A103" s="1">
        <v>45751.296539351853</v>
      </c>
      <c r="B103" t="s">
        <v>30</v>
      </c>
      <c r="C103">
        <v>10</v>
      </c>
      <c r="D103">
        <v>16.98</v>
      </c>
      <c r="E103">
        <v>-169.8</v>
      </c>
      <c r="F103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3" s="2">
        <f>RTD("tos.rtd", , "LAST", undervalued_trades[[#This Row],[Symbol]])</f>
        <v>19.225000000000001</v>
      </c>
      <c r="H103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4" spans="1:9" x14ac:dyDescent="0.25">
      <c r="A104" s="1">
        <v>45902.395844907405</v>
      </c>
      <c r="B104" t="s">
        <v>30</v>
      </c>
      <c r="C104">
        <v>50</v>
      </c>
      <c r="D104">
        <v>21.1</v>
      </c>
      <c r="E104">
        <v>-1055</v>
      </c>
      <c r="F104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4" s="2">
        <f>RTD("tos.rtd", , "LAST", undervalued_trades[[#This Row],[Symbol]])</f>
        <v>19.225000000000001</v>
      </c>
      <c r="H104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5" spans="1:9" x14ac:dyDescent="0.25">
      <c r="A105" s="1">
        <v>45840.395844907405</v>
      </c>
      <c r="B105" t="s">
        <v>30</v>
      </c>
      <c r="C105">
        <v>60</v>
      </c>
      <c r="D105">
        <v>17</v>
      </c>
      <c r="E105">
        <v>-1020</v>
      </c>
      <c r="F105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5" s="2">
        <f>RTD("tos.rtd", , "LAST", undervalued_trades[[#This Row],[Symbol]])</f>
        <v>19.225000000000001</v>
      </c>
      <c r="H105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6" spans="1:9" x14ac:dyDescent="0.25">
      <c r="A106" s="1">
        <v>45810.291759259257</v>
      </c>
      <c r="B106" t="s">
        <v>30</v>
      </c>
      <c r="C106">
        <v>60</v>
      </c>
      <c r="D106">
        <v>16.72</v>
      </c>
      <c r="E106">
        <v>-1003.1999999999999</v>
      </c>
      <c r="F106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6" s="2">
        <f>RTD("tos.rtd", , "LAST", undervalued_trades[[#This Row],[Symbol]])</f>
        <v>19.225000000000001</v>
      </c>
      <c r="H106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7" spans="1:9" x14ac:dyDescent="0.25">
      <c r="A107" s="1">
        <v>45874.395833333336</v>
      </c>
      <c r="B107" t="s">
        <v>30</v>
      </c>
      <c r="C107">
        <v>60</v>
      </c>
      <c r="D107">
        <v>16.34</v>
      </c>
      <c r="E107">
        <v>-980.4</v>
      </c>
      <c r="F107" s="2">
        <f>IFERROR(-SUMIF(undervalued_trades[Symbol],undervalued_trades[[#This Row],[Symbol]],undervalued_trades[Cost &amp; Gain])/SUMIF(undervalued_trades[Symbol],undervalued_trades[[#This Row],[Symbol]],undervalued_trades[Qty]),"")</f>
        <v>17.355428571428572</v>
      </c>
      <c r="G107" s="2">
        <f>RTD("tos.rtd", , "LAST", undervalued_trades[[#This Row],[Symbol]])</f>
        <v>19.225000000000001</v>
      </c>
      <c r="H107" s="2">
        <f>IFERROR((undervalued_trades[[#This Row],[Current Price]]-undervalued_trades[[#This Row],[Avg Price]])*SUMIF(undervalued_trades[Symbol],undervalued_trades[[#This Row],[Symbol]],undervalued_trades[Qty]),"")</f>
        <v>654.35000000000036</v>
      </c>
      <c r="I10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8" spans="1:9" x14ac:dyDescent="0.25">
      <c r="A108" s="1">
        <v>45902.395856481482</v>
      </c>
      <c r="B108" t="s">
        <v>63</v>
      </c>
      <c r="C108">
        <v>10</v>
      </c>
      <c r="D108">
        <v>95.03</v>
      </c>
      <c r="E108">
        <v>-950.3</v>
      </c>
      <c r="F108" s="2">
        <f>IFERROR(-SUMIF(undervalued_trades[Symbol],undervalued_trades[[#This Row],[Symbol]],undervalued_trades[Cost &amp; Gain])/SUMIF(undervalued_trades[Symbol],undervalued_trades[[#This Row],[Symbol]],undervalued_trades[Qty]),"")</f>
        <v>95.03</v>
      </c>
      <c r="G108" s="2">
        <f>RTD("tos.rtd", , "LAST", undervalued_trades[[#This Row],[Symbol]])</f>
        <v>85.83</v>
      </c>
      <c r="H108" s="2">
        <f>IFERROR((undervalued_trades[[#This Row],[Current Price]]-undervalued_trades[[#This Row],[Avg Price]])*SUMIF(undervalued_trades[Symbol],undervalued_trades[[#This Row],[Symbol]],undervalued_trades[Qty]),"")</f>
        <v>-92.000000000000028</v>
      </c>
      <c r="I10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09" spans="1:9" x14ac:dyDescent="0.25">
      <c r="A109" s="1">
        <v>45902.395856481482</v>
      </c>
      <c r="B109" t="s">
        <v>58</v>
      </c>
      <c r="C109">
        <v>10</v>
      </c>
      <c r="D109">
        <v>66.14</v>
      </c>
      <c r="E109">
        <v>-661.4</v>
      </c>
      <c r="F109" s="2">
        <f>IFERROR(-SUMIF(undervalued_trades[Symbol],undervalued_trades[[#This Row],[Symbol]],undervalued_trades[Cost &amp; Gain])/SUMIF(undervalued_trades[Symbol],undervalued_trades[[#This Row],[Symbol]],undervalued_trades[Qty]),"")</f>
        <v>65.206666666666678</v>
      </c>
      <c r="G109" s="2">
        <f>RTD("tos.rtd", , "LAST", undervalued_trades[[#This Row],[Symbol]])</f>
        <v>60.36</v>
      </c>
      <c r="H109" s="2">
        <f>IFERROR((undervalued_trades[[#This Row],[Current Price]]-undervalued_trades[[#This Row],[Avg Price]])*SUMIF(undervalued_trades[Symbol],undervalued_trades[[#This Row],[Symbol]],undervalued_trades[Qty]),"")</f>
        <v>-145.40000000000035</v>
      </c>
      <c r="I10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0" spans="1:9" x14ac:dyDescent="0.25">
      <c r="A110" s="1">
        <v>45840.418263888889</v>
      </c>
      <c r="B110" t="s">
        <v>58</v>
      </c>
      <c r="C110">
        <v>10</v>
      </c>
      <c r="D110">
        <v>64</v>
      </c>
      <c r="E110">
        <v>-640</v>
      </c>
      <c r="F110" s="2">
        <f>IFERROR(-SUMIF(undervalued_trades[Symbol],undervalued_trades[[#This Row],[Symbol]],undervalued_trades[Cost &amp; Gain])/SUMIF(undervalued_trades[Symbol],undervalued_trades[[#This Row],[Symbol]],undervalued_trades[Qty]),"")</f>
        <v>65.206666666666678</v>
      </c>
      <c r="G110" s="2">
        <f>RTD("tos.rtd", , "LAST", undervalued_trades[[#This Row],[Symbol]])</f>
        <v>60.36</v>
      </c>
      <c r="H110" s="2">
        <f>IFERROR((undervalued_trades[[#This Row],[Current Price]]-undervalued_trades[[#This Row],[Avg Price]])*SUMIF(undervalued_trades[Symbol],undervalued_trades[[#This Row],[Symbol]],undervalued_trades[Qty]),"")</f>
        <v>-145.40000000000035</v>
      </c>
      <c r="I11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1" spans="1:9" x14ac:dyDescent="0.25">
      <c r="A111" s="1">
        <v>45937.398043981484</v>
      </c>
      <c r="B111" t="s">
        <v>58</v>
      </c>
      <c r="C111">
        <v>10</v>
      </c>
      <c r="D111">
        <v>65.48</v>
      </c>
      <c r="E111">
        <v>-654.80000000000007</v>
      </c>
      <c r="F111" s="2">
        <f>IFERROR(-SUMIF(undervalued_trades[Symbol],undervalued_trades[[#This Row],[Symbol]],undervalued_trades[Cost &amp; Gain])/SUMIF(undervalued_trades[Symbol],undervalued_trades[[#This Row],[Symbol]],undervalued_trades[Qty]),"")</f>
        <v>65.206666666666678</v>
      </c>
      <c r="G111" s="2">
        <f>RTD("tos.rtd", , "LAST", undervalued_trades[[#This Row],[Symbol]])</f>
        <v>60.36</v>
      </c>
      <c r="H111" s="2">
        <f>IFERROR((undervalued_trades[[#This Row],[Current Price]]-undervalued_trades[[#This Row],[Avg Price]])*SUMIF(undervalued_trades[Symbol],undervalued_trades[[#This Row],[Symbol]],undervalued_trades[Qty]),"")</f>
        <v>-145.40000000000035</v>
      </c>
      <c r="I11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2" spans="1:9" x14ac:dyDescent="0.25">
      <c r="A112" s="1">
        <v>45874.395856481482</v>
      </c>
      <c r="B112" t="s">
        <v>61</v>
      </c>
      <c r="C112">
        <v>130</v>
      </c>
      <c r="D112">
        <v>6.85</v>
      </c>
      <c r="E112">
        <v>-890.5</v>
      </c>
      <c r="F112" s="2">
        <f>IFERROR(-SUMIF(undervalued_trades[Symbol],undervalued_trades[[#This Row],[Symbol]],undervalued_trades[Cost &amp; Gain])/SUMIF(undervalued_trades[Symbol],undervalued_trades[[#This Row],[Symbol]],undervalued_trades[Qty]),"")</f>
        <v>6.85</v>
      </c>
      <c r="G112" s="2">
        <f>RTD("tos.rtd", , "LAST", undervalued_trades[[#This Row],[Symbol]])</f>
        <v>6.32</v>
      </c>
      <c r="H112" s="2">
        <f>IFERROR((undervalued_trades[[#This Row],[Current Price]]-undervalued_trades[[#This Row],[Avg Price]])*SUMIF(undervalued_trades[Symbol],undervalued_trades[[#This Row],[Symbol]],undervalued_trades[Qty]),"")</f>
        <v>-74.199999999999903</v>
      </c>
      <c r="I11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3" spans="1:9" x14ac:dyDescent="0.25">
      <c r="A113" s="1">
        <v>45874.395856481482</v>
      </c>
      <c r="B113" t="s">
        <v>61</v>
      </c>
      <c r="C113">
        <v>10</v>
      </c>
      <c r="D113">
        <v>6.85</v>
      </c>
      <c r="E113">
        <v>-68.5</v>
      </c>
      <c r="F113" s="2">
        <f>IFERROR(-SUMIF(undervalued_trades[Symbol],undervalued_trades[[#This Row],[Symbol]],undervalued_trades[Cost &amp; Gain])/SUMIF(undervalued_trades[Symbol],undervalued_trades[[#This Row],[Symbol]],undervalued_trades[Qty]),"")</f>
        <v>6.85</v>
      </c>
      <c r="G113" s="2">
        <f>RTD("tos.rtd", , "LAST", undervalued_trades[[#This Row],[Symbol]])</f>
        <v>6.32</v>
      </c>
      <c r="H113" s="2">
        <f>IFERROR((undervalued_trades[[#This Row],[Current Price]]-undervalued_trades[[#This Row],[Avg Price]])*SUMIF(undervalued_trades[Symbol],undervalued_trades[[#This Row],[Symbol]],undervalued_trades[Qty]),"")</f>
        <v>-74.199999999999903</v>
      </c>
      <c r="I11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4" spans="1:9" x14ac:dyDescent="0.25">
      <c r="A114" s="1">
        <v>45751.515601851854</v>
      </c>
      <c r="B114" t="s">
        <v>33</v>
      </c>
      <c r="C114">
        <v>10</v>
      </c>
      <c r="D114">
        <v>58</v>
      </c>
      <c r="E114">
        <v>-580</v>
      </c>
      <c r="F114" s="2">
        <f>IFERROR(-SUMIF(undervalued_trades[Symbol],undervalued_trades[[#This Row],[Symbol]],undervalued_trades[Cost &amp; Gain])/SUMIF(undervalued_trades[Symbol],undervalued_trades[[#This Row],[Symbol]],undervalued_trades[Qty]),"")</f>
        <v>58</v>
      </c>
      <c r="G114" s="2">
        <f>RTD("tos.rtd", , "LAST", undervalued_trades[[#This Row],[Symbol]])</f>
        <v>64.465000000000003</v>
      </c>
      <c r="H114" s="2">
        <f>IFERROR((undervalued_trades[[#This Row],[Current Price]]-undervalued_trades[[#This Row],[Avg Price]])*SUMIF(undervalued_trades[Symbol],undervalued_trades[[#This Row],[Symbol]],undervalued_trades[Qty]),"")</f>
        <v>64.650000000000034</v>
      </c>
      <c r="I11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5" spans="1:9" x14ac:dyDescent="0.25">
      <c r="A115" s="1">
        <v>45782.396736111114</v>
      </c>
      <c r="B115" t="s">
        <v>43</v>
      </c>
      <c r="C115">
        <v>10</v>
      </c>
      <c r="D115">
        <v>59</v>
      </c>
      <c r="E115">
        <v>-590</v>
      </c>
      <c r="F115" s="2">
        <f>IFERROR(-SUMIF(undervalued_trades[Symbol],undervalued_trades[[#This Row],[Symbol]],undervalued_trades[Cost &amp; Gain])/SUMIF(undervalued_trades[Symbol],undervalued_trades[[#This Row],[Symbol]],undervalued_trades[Qty]),"")</f>
        <v>59</v>
      </c>
      <c r="G115" s="2">
        <f>RTD("tos.rtd", , "LAST", undervalued_trades[[#This Row],[Symbol]])</f>
        <v>62.24</v>
      </c>
      <c r="H115" s="2">
        <f>IFERROR((undervalued_trades[[#This Row],[Current Price]]-undervalued_trades[[#This Row],[Avg Price]])*SUMIF(undervalued_trades[Symbol],undervalued_trades[[#This Row],[Symbol]],undervalued_trades[Qty]),"")</f>
        <v>32.40000000000002</v>
      </c>
      <c r="I11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6" spans="1:9" x14ac:dyDescent="0.25">
      <c r="A116" s="1">
        <v>45937.395844907405</v>
      </c>
      <c r="B116" t="s">
        <v>65</v>
      </c>
      <c r="C116">
        <v>30</v>
      </c>
      <c r="D116">
        <v>32.25</v>
      </c>
      <c r="E116">
        <v>-967.5</v>
      </c>
      <c r="F116" s="2">
        <f>IFERROR(-SUMIF(undervalued_trades[Symbol],undervalued_trades[[#This Row],[Symbol]],undervalued_trades[Cost &amp; Gain])/SUMIF(undervalued_trades[Symbol],undervalued_trades[[#This Row],[Symbol]],undervalued_trades[Qty]),"")</f>
        <v>32.885000000000005</v>
      </c>
      <c r="G116" s="2">
        <f>RTD("tos.rtd", , "LAST", undervalued_trades[[#This Row],[Symbol]])</f>
        <v>28.76</v>
      </c>
      <c r="H116" s="2">
        <f>IFERROR((undervalued_trades[[#This Row],[Current Price]]-undervalued_trades[[#This Row],[Avg Price]])*SUMIF(undervalued_trades[Symbol],undervalued_trades[[#This Row],[Symbol]],undervalued_trades[Qty]),"")</f>
        <v>-247.50000000000023</v>
      </c>
      <c r="I11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7" spans="1:9" x14ac:dyDescent="0.25">
      <c r="A117" s="1">
        <v>45902.395902777775</v>
      </c>
      <c r="B117" t="s">
        <v>65</v>
      </c>
      <c r="C117">
        <v>30</v>
      </c>
      <c r="D117">
        <v>33.520000000000003</v>
      </c>
      <c r="E117">
        <v>-1005.6000000000001</v>
      </c>
      <c r="F117" s="2">
        <f>IFERROR(-SUMIF(undervalued_trades[Symbol],undervalued_trades[[#This Row],[Symbol]],undervalued_trades[Cost &amp; Gain])/SUMIF(undervalued_trades[Symbol],undervalued_trades[[#This Row],[Symbol]],undervalued_trades[Qty]),"")</f>
        <v>32.885000000000005</v>
      </c>
      <c r="G117" s="2">
        <f>RTD("tos.rtd", , "LAST", undervalued_trades[[#This Row],[Symbol]])</f>
        <v>28.76</v>
      </c>
      <c r="H117" s="2">
        <f>IFERROR((undervalued_trades[[#This Row],[Current Price]]-undervalued_trades[[#This Row],[Avg Price]])*SUMIF(undervalued_trades[Symbol],undervalued_trades[[#This Row],[Symbol]],undervalued_trades[Qty]),"")</f>
        <v>-247.50000000000023</v>
      </c>
      <c r="I11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8" spans="1:9" x14ac:dyDescent="0.25">
      <c r="A118" s="1">
        <v>45810.291666666664</v>
      </c>
      <c r="B118" t="s">
        <v>49</v>
      </c>
      <c r="C118">
        <v>70</v>
      </c>
      <c r="D118">
        <v>13.9</v>
      </c>
      <c r="E118">
        <v>-973</v>
      </c>
      <c r="F118" s="2">
        <f>IFERROR(-SUMIF(undervalued_trades[Symbol],undervalued_trades[[#This Row],[Symbol]],undervalued_trades[Cost &amp; Gain])/SUMIF(undervalued_trades[Symbol],undervalued_trades[[#This Row],[Symbol]],undervalued_trades[Qty]),"")</f>
        <v>14.765263157894738</v>
      </c>
      <c r="G118" s="2">
        <f>RTD("tos.rtd", , "LAST", undervalued_trades[[#This Row],[Symbol]])</f>
        <v>18.707100000000001</v>
      </c>
      <c r="H118" s="2">
        <f>IFERROR((undervalued_trades[[#This Row],[Current Price]]-undervalued_trades[[#This Row],[Avg Price]])*SUMIF(undervalued_trades[Symbol],undervalued_trades[[#This Row],[Symbol]],undervalued_trades[Qty]),"")</f>
        <v>748.94899999999984</v>
      </c>
      <c r="I11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19" spans="1:9" x14ac:dyDescent="0.25">
      <c r="A119" s="1">
        <v>45840.395891203705</v>
      </c>
      <c r="B119" t="s">
        <v>49</v>
      </c>
      <c r="C119">
        <v>60</v>
      </c>
      <c r="D119">
        <v>15.05</v>
      </c>
      <c r="E119">
        <v>-903</v>
      </c>
      <c r="F119" s="2">
        <f>IFERROR(-SUMIF(undervalued_trades[Symbol],undervalued_trades[[#This Row],[Symbol]],undervalued_trades[Cost &amp; Gain])/SUMIF(undervalued_trades[Symbol],undervalued_trades[[#This Row],[Symbol]],undervalued_trades[Qty]),"")</f>
        <v>14.765263157894738</v>
      </c>
      <c r="G119" s="2">
        <f>RTD("tos.rtd", , "LAST", undervalued_trades[[#This Row],[Symbol]])</f>
        <v>18.707100000000001</v>
      </c>
      <c r="H119" s="2">
        <f>IFERROR((undervalued_trades[[#This Row],[Current Price]]-undervalued_trades[[#This Row],[Avg Price]])*SUMIF(undervalued_trades[Symbol],undervalued_trades[[#This Row],[Symbol]],undervalued_trades[Qty]),"")</f>
        <v>748.94899999999984</v>
      </c>
      <c r="I11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0" spans="1:9" x14ac:dyDescent="0.25">
      <c r="A120" s="1">
        <v>45874.395844907405</v>
      </c>
      <c r="B120" t="s">
        <v>49</v>
      </c>
      <c r="C120">
        <v>60</v>
      </c>
      <c r="D120">
        <v>15.49</v>
      </c>
      <c r="E120">
        <v>-929.4</v>
      </c>
      <c r="F120" s="2">
        <f>IFERROR(-SUMIF(undervalued_trades[Symbol],undervalued_trades[[#This Row],[Symbol]],undervalued_trades[Cost &amp; Gain])/SUMIF(undervalued_trades[Symbol],undervalued_trades[[#This Row],[Symbol]],undervalued_trades[Qty]),"")</f>
        <v>14.765263157894738</v>
      </c>
      <c r="G120" s="2">
        <f>RTD("tos.rtd", , "LAST", undervalued_trades[[#This Row],[Symbol]])</f>
        <v>18.707100000000001</v>
      </c>
      <c r="H120" s="2">
        <f>IFERROR((undervalued_trades[[#This Row],[Current Price]]-undervalued_trades[[#This Row],[Avg Price]])*SUMIF(undervalued_trades[Symbol],undervalued_trades[[#This Row],[Symbol]],undervalued_trades[Qty]),"")</f>
        <v>748.94899999999984</v>
      </c>
      <c r="I12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1" spans="1:9" x14ac:dyDescent="0.25">
      <c r="A121" s="1">
        <v>45902.395868055559</v>
      </c>
      <c r="B121" t="s">
        <v>47</v>
      </c>
      <c r="C121">
        <v>350</v>
      </c>
      <c r="D121">
        <v>2.75</v>
      </c>
      <c r="E121">
        <v>-962.5</v>
      </c>
      <c r="F121" s="2">
        <f>IFERROR(-SUMIF(undervalued_trades[Symbol],undervalued_trades[[#This Row],[Symbol]],undervalued_trades[Cost &amp; Gain])/SUMIF(undervalued_trades[Symbol],undervalued_trades[[#This Row],[Symbol]],undervalued_trades[Qty]),"")</f>
        <v>2.7845233644859815</v>
      </c>
      <c r="G121" s="2">
        <f>RTD("tos.rtd", , "LAST", undervalued_trades[[#This Row],[Symbol]])</f>
        <v>2.6949999999999998</v>
      </c>
      <c r="H121" s="2">
        <f>IFERROR((undervalued_trades[[#This Row],[Current Price]]-undervalued_trades[[#This Row],[Avg Price]])*SUMIF(undervalued_trades[Symbol],undervalued_trades[[#This Row],[Symbol]],undervalued_trades[Qty]),"")</f>
        <v>-95.790000000000347</v>
      </c>
      <c r="I12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2" spans="1:9" x14ac:dyDescent="0.25">
      <c r="A122" s="1">
        <v>45874.395844907405</v>
      </c>
      <c r="B122" t="s">
        <v>47</v>
      </c>
      <c r="C122">
        <v>370</v>
      </c>
      <c r="D122">
        <v>2.7</v>
      </c>
      <c r="E122">
        <v>-999.00000000000011</v>
      </c>
      <c r="F122" s="2">
        <f>IFERROR(-SUMIF(undervalued_trades[Symbol],undervalued_trades[[#This Row],[Symbol]],undervalued_trades[Cost &amp; Gain])/SUMIF(undervalued_trades[Symbol],undervalued_trades[[#This Row],[Symbol]],undervalued_trades[Qty]),"")</f>
        <v>2.7845233644859815</v>
      </c>
      <c r="G122" s="2">
        <f>RTD("tos.rtd", , "LAST", undervalued_trades[[#This Row],[Symbol]])</f>
        <v>2.6949999999999998</v>
      </c>
      <c r="H122" s="2">
        <f>IFERROR((undervalued_trades[[#This Row],[Current Price]]-undervalued_trades[[#This Row],[Avg Price]])*SUMIF(undervalued_trades[Symbol],undervalued_trades[[#This Row],[Symbol]],undervalued_trades[Qty]),"")</f>
        <v>-95.790000000000347</v>
      </c>
      <c r="I12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3" spans="1:9" x14ac:dyDescent="0.25">
      <c r="A123" s="1">
        <v>45806.422905092593</v>
      </c>
      <c r="B123" t="s">
        <v>47</v>
      </c>
      <c r="C123">
        <v>350</v>
      </c>
      <c r="D123">
        <v>2.9083999999999999</v>
      </c>
      <c r="E123">
        <v>-1017.9399999999999</v>
      </c>
      <c r="F123" s="2">
        <f>IFERROR(-SUMIF(undervalued_trades[Symbol],undervalued_trades[[#This Row],[Symbol]],undervalued_trades[Cost &amp; Gain])/SUMIF(undervalued_trades[Symbol],undervalued_trades[[#This Row],[Symbol]],undervalued_trades[Qty]),"")</f>
        <v>2.7845233644859815</v>
      </c>
      <c r="G123" s="2">
        <f>RTD("tos.rtd", , "LAST", undervalued_trades[[#This Row],[Symbol]])</f>
        <v>2.6949999999999998</v>
      </c>
      <c r="H123" s="2">
        <f>IFERROR((undervalued_trades[[#This Row],[Current Price]]-undervalued_trades[[#This Row],[Avg Price]])*SUMIF(undervalued_trades[Symbol],undervalued_trades[[#This Row],[Symbol]],undervalued_trades[Qty]),"")</f>
        <v>-95.790000000000347</v>
      </c>
      <c r="I12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4" spans="1:9" x14ac:dyDescent="0.25">
      <c r="A124" s="1">
        <v>45574.311527777776</v>
      </c>
      <c r="B124" t="s">
        <v>6</v>
      </c>
      <c r="C124">
        <v>40</v>
      </c>
      <c r="D124">
        <v>7.21</v>
      </c>
      <c r="E124">
        <v>-288.39999999999998</v>
      </c>
      <c r="F124" s="2">
        <f>IFERROR(-SUMIF(undervalued_trades[Symbol],undervalued_trades[[#This Row],[Symbol]],undervalued_trades[Cost &amp; Gain])/SUMIF(undervalued_trades[Symbol],undervalued_trades[[#This Row],[Symbol]],undervalued_trades[Qty]),"")</f>
        <v>10.763461538461538</v>
      </c>
      <c r="G124" s="2">
        <f>RTD("tos.rtd", , "LAST", undervalued_trades[[#This Row],[Symbol]])</f>
        <v>7.2549999999999999</v>
      </c>
      <c r="H124" s="2">
        <f>IFERROR((undervalued_trades[[#This Row],[Current Price]]-undervalued_trades[[#This Row],[Avg Price]])*SUMIF(undervalued_trades[Symbol],undervalued_trades[[#This Row],[Symbol]],undervalued_trades[Qty]),"")</f>
        <v>-912.19999999999993</v>
      </c>
      <c r="I12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5" spans="1:9" x14ac:dyDescent="0.25">
      <c r="A125" s="1">
        <v>45902.395856481482</v>
      </c>
      <c r="B125" t="s">
        <v>6</v>
      </c>
      <c r="C125">
        <v>60</v>
      </c>
      <c r="D125">
        <v>15</v>
      </c>
      <c r="E125">
        <v>-900</v>
      </c>
      <c r="F125" s="2">
        <f>IFERROR(-SUMIF(undervalued_trades[Symbol],undervalued_trades[[#This Row],[Symbol]],undervalued_trades[Cost &amp; Gain])/SUMIF(undervalued_trades[Symbol],undervalued_trades[[#This Row],[Symbol]],undervalued_trades[Qty]),"")</f>
        <v>10.763461538461538</v>
      </c>
      <c r="G125" s="2">
        <f>RTD("tos.rtd", , "LAST", undervalued_trades[[#This Row],[Symbol]])</f>
        <v>7.2549999999999999</v>
      </c>
      <c r="H125" s="2">
        <f>IFERROR((undervalued_trades[[#This Row],[Current Price]]-undervalued_trades[[#This Row],[Avg Price]])*SUMIF(undervalued_trades[Symbol],undervalued_trades[[#This Row],[Symbol]],undervalued_trades[Qty]),"")</f>
        <v>-912.19999999999993</v>
      </c>
      <c r="I12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6" spans="1:9" x14ac:dyDescent="0.25">
      <c r="A126" s="1">
        <v>45874.395844907405</v>
      </c>
      <c r="B126" t="s">
        <v>6</v>
      </c>
      <c r="C126">
        <v>70</v>
      </c>
      <c r="D126">
        <v>13.74</v>
      </c>
      <c r="E126">
        <v>-961.80000000000007</v>
      </c>
      <c r="F126" s="2">
        <f>IFERROR(-SUMIF(undervalued_trades[Symbol],undervalued_trades[[#This Row],[Symbol]],undervalued_trades[Cost &amp; Gain])/SUMIF(undervalued_trades[Symbol],undervalued_trades[[#This Row],[Symbol]],undervalued_trades[Qty]),"")</f>
        <v>10.763461538461538</v>
      </c>
      <c r="G126" s="2">
        <f>RTD("tos.rtd", , "LAST", undervalued_trades[[#This Row],[Symbol]])</f>
        <v>7.2549999999999999</v>
      </c>
      <c r="H126" s="2">
        <f>IFERROR((undervalued_trades[[#This Row],[Current Price]]-undervalued_trades[[#This Row],[Avg Price]])*SUMIF(undervalued_trades[Symbol],undervalued_trades[[#This Row],[Symbol]],undervalued_trades[Qty]),"")</f>
        <v>-912.19999999999993</v>
      </c>
      <c r="I12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7" spans="1:9" x14ac:dyDescent="0.25">
      <c r="A127" s="1">
        <v>45574.356805555559</v>
      </c>
      <c r="B127" t="s">
        <v>6</v>
      </c>
      <c r="C127">
        <v>10</v>
      </c>
      <c r="D127">
        <v>7.15</v>
      </c>
      <c r="E127">
        <v>-71.5</v>
      </c>
      <c r="F127" s="2">
        <f>IFERROR(-SUMIF(undervalued_trades[Symbol],undervalued_trades[[#This Row],[Symbol]],undervalued_trades[Cost &amp; Gain])/SUMIF(undervalued_trades[Symbol],undervalued_trades[[#This Row],[Symbol]],undervalued_trades[Qty]),"")</f>
        <v>10.763461538461538</v>
      </c>
      <c r="G127" s="2">
        <f>RTD("tos.rtd", , "LAST", undervalued_trades[[#This Row],[Symbol]])</f>
        <v>7.2549999999999999</v>
      </c>
      <c r="H127" s="2">
        <f>IFERROR((undervalued_trades[[#This Row],[Current Price]]-undervalued_trades[[#This Row],[Avg Price]])*SUMIF(undervalued_trades[Symbol],undervalued_trades[[#This Row],[Symbol]],undervalued_trades[Qty]),"")</f>
        <v>-912.19999999999993</v>
      </c>
      <c r="I127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8" spans="1:9" x14ac:dyDescent="0.25">
      <c r="A128" s="1">
        <v>45574.393252314818</v>
      </c>
      <c r="B128" t="s">
        <v>6</v>
      </c>
      <c r="C128">
        <v>80</v>
      </c>
      <c r="D128">
        <v>7.21</v>
      </c>
      <c r="E128">
        <v>-576.79999999999995</v>
      </c>
      <c r="F128" s="2">
        <f>IFERROR(-SUMIF(undervalued_trades[Symbol],undervalued_trades[[#This Row],[Symbol]],undervalued_trades[Cost &amp; Gain])/SUMIF(undervalued_trades[Symbol],undervalued_trades[[#This Row],[Symbol]],undervalued_trades[Qty]),"")</f>
        <v>10.763461538461538</v>
      </c>
      <c r="G128" s="2">
        <f>RTD("tos.rtd", , "LAST", undervalued_trades[[#This Row],[Symbol]])</f>
        <v>7.2549999999999999</v>
      </c>
      <c r="H128" s="2">
        <f>IFERROR((undervalued_trades[[#This Row],[Current Price]]-undervalued_trades[[#This Row],[Avg Price]])*SUMIF(undervalued_trades[Symbol],undervalued_trades[[#This Row],[Symbol]],undervalued_trades[Qty]),"")</f>
        <v>-912.19999999999993</v>
      </c>
      <c r="I128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29" spans="1:9" x14ac:dyDescent="0.25">
      <c r="A129" s="1">
        <v>45663.659062500003</v>
      </c>
      <c r="B129" t="s">
        <v>16</v>
      </c>
      <c r="C129">
        <v>200</v>
      </c>
      <c r="D129">
        <v>4</v>
      </c>
      <c r="E129">
        <v>-800</v>
      </c>
      <c r="F129" s="2">
        <f>IFERROR(-SUMIF(undervalued_trades[Symbol],undervalued_trades[[#This Row],[Symbol]],undervalued_trades[Cost &amp; Gain])/SUMIF(undervalued_trades[Symbol],undervalued_trades[[#This Row],[Symbol]],undervalued_trades[Qty]),"")</f>
        <v>4</v>
      </c>
      <c r="G129" s="2">
        <f>RTD("tos.rtd", , "LAST", undervalued_trades[[#This Row],[Symbol]])</f>
        <v>6.9649999999999999</v>
      </c>
      <c r="H129" s="2">
        <f>IFERROR((undervalued_trades[[#This Row],[Current Price]]-undervalued_trades[[#This Row],[Avg Price]])*SUMIF(undervalued_trades[Symbol],undervalued_trades[[#This Row],[Symbol]],undervalued_trades[Qty]),"")</f>
        <v>593</v>
      </c>
      <c r="I129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0" spans="1:9" x14ac:dyDescent="0.25">
      <c r="A130" s="1">
        <v>45574.291666666664</v>
      </c>
      <c r="B130" t="s">
        <v>5</v>
      </c>
      <c r="C130">
        <v>150</v>
      </c>
      <c r="D130">
        <v>6.3</v>
      </c>
      <c r="E130">
        <v>-945</v>
      </c>
      <c r="F130" s="2">
        <f>IFERROR(-SUMIF(undervalued_trades[Symbol],undervalued_trades[[#This Row],[Symbol]],undervalued_trades[Cost &amp; Gain])/SUMIF(undervalued_trades[Symbol],undervalued_trades[[#This Row],[Symbol]],undervalued_trades[Qty]),"")</f>
        <v>7.5</v>
      </c>
      <c r="G130" s="2">
        <f>RTD("tos.rtd", , "LAST", undervalued_trades[[#This Row],[Symbol]])</f>
        <v>4.59</v>
      </c>
      <c r="H130" s="2">
        <f>IFERROR((undervalued_trades[[#This Row],[Current Price]]-undervalued_trades[[#This Row],[Avg Price]])*SUMIF(undervalued_trades[Symbol],undervalued_trades[[#This Row],[Symbol]],undervalued_trades[Qty]),"")</f>
        <v>-87.300000000000011</v>
      </c>
      <c r="I130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1" spans="1:9" x14ac:dyDescent="0.25">
      <c r="A131" s="1">
        <v>45847.490763888891</v>
      </c>
      <c r="B131" t="s">
        <v>5</v>
      </c>
      <c r="C131">
        <v>-120</v>
      </c>
      <c r="D131">
        <v>6</v>
      </c>
      <c r="E131">
        <v>720</v>
      </c>
      <c r="F131" s="2">
        <f>IFERROR(-SUMIF(undervalued_trades[Symbol],undervalued_trades[[#This Row],[Symbol]],undervalued_trades[Cost &amp; Gain])/SUMIF(undervalued_trades[Symbol],undervalued_trades[[#This Row],[Symbol]],undervalued_trades[Qty]),"")</f>
        <v>7.5</v>
      </c>
      <c r="G131" s="2">
        <f>RTD("tos.rtd", , "LAST", undervalued_trades[[#This Row],[Symbol]])</f>
        <v>4.59</v>
      </c>
      <c r="H131" s="2">
        <f>IFERROR((undervalued_trades[[#This Row],[Current Price]]-undervalued_trades[[#This Row],[Avg Price]])*SUMIF(undervalued_trades[Symbol],undervalued_trades[[#This Row],[Symbol]],undervalued_trades[Qty]),"")</f>
        <v>-87.300000000000011</v>
      </c>
      <c r="I131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2" spans="1:9" x14ac:dyDescent="0.25">
      <c r="A132" s="1">
        <v>45937.395856481482</v>
      </c>
      <c r="B132" t="s">
        <v>62</v>
      </c>
      <c r="C132">
        <v>20</v>
      </c>
      <c r="D132">
        <v>43.19</v>
      </c>
      <c r="E132">
        <v>-863.8</v>
      </c>
      <c r="F132" s="2">
        <f>IFERROR(-SUMIF(undervalued_trades[Symbol],undervalued_trades[[#This Row],[Symbol]],undervalued_trades[Cost &amp; Gain])/SUMIF(undervalued_trades[Symbol],undervalued_trades[[#This Row],[Symbol]],undervalued_trades[Qty]),"")</f>
        <v>43.605000000000004</v>
      </c>
      <c r="G132" s="2">
        <f>RTD("tos.rtd", , "LAST", undervalued_trades[[#This Row],[Symbol]])</f>
        <v>47.95</v>
      </c>
      <c r="H132" s="2">
        <f>IFERROR((undervalued_trades[[#This Row],[Current Price]]-undervalued_trades[[#This Row],[Avg Price]])*SUMIF(undervalued_trades[Symbol],undervalued_trades[[#This Row],[Symbol]],undervalued_trades[Qty]),"")</f>
        <v>173.79999999999995</v>
      </c>
      <c r="I132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3" spans="1:9" x14ac:dyDescent="0.25">
      <c r="A133" s="1">
        <v>45902.395844907405</v>
      </c>
      <c r="B133" t="s">
        <v>62</v>
      </c>
      <c r="C133">
        <v>20</v>
      </c>
      <c r="D133">
        <v>44.02</v>
      </c>
      <c r="E133">
        <v>-880.40000000000009</v>
      </c>
      <c r="F133" s="2">
        <f>IFERROR(-SUMIF(undervalued_trades[Symbol],undervalued_trades[[#This Row],[Symbol]],undervalued_trades[Cost &amp; Gain])/SUMIF(undervalued_trades[Symbol],undervalued_trades[[#This Row],[Symbol]],undervalued_trades[Qty]),"")</f>
        <v>43.605000000000004</v>
      </c>
      <c r="G133" s="2">
        <f>RTD("tos.rtd", , "LAST", undervalued_trades[[#This Row],[Symbol]])</f>
        <v>47.95</v>
      </c>
      <c r="H133" s="2">
        <f>IFERROR((undervalued_trades[[#This Row],[Current Price]]-undervalued_trades[[#This Row],[Avg Price]])*SUMIF(undervalued_trades[Symbol],undervalued_trades[[#This Row],[Symbol]],undervalued_trades[Qty]),"")</f>
        <v>173.79999999999995</v>
      </c>
      <c r="I133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4" spans="1:9" x14ac:dyDescent="0.25">
      <c r="A134" s="1">
        <v>45810.291666666664</v>
      </c>
      <c r="B134" t="s">
        <v>50</v>
      </c>
      <c r="C134">
        <v>10</v>
      </c>
      <c r="D134">
        <v>80.989999999999995</v>
      </c>
      <c r="E134">
        <v>-809.9</v>
      </c>
      <c r="F134" s="2">
        <f>IFERROR(-SUMIF(undervalued_trades[Symbol],undervalued_trades[[#This Row],[Symbol]],undervalued_trades[Cost &amp; Gain])/SUMIF(undervalued_trades[Symbol],undervalued_trades[[#This Row],[Symbol]],undervalued_trades[Qty]),"")</f>
        <v>79.373333333333321</v>
      </c>
      <c r="G134" s="2">
        <f>RTD("tos.rtd", , "LAST", undervalued_trades[[#This Row],[Symbol]])</f>
        <v>79.739999999999995</v>
      </c>
      <c r="H134" s="2">
        <f>IFERROR((undervalued_trades[[#This Row],[Current Price]]-undervalued_trades[[#This Row],[Avg Price]])*SUMIF(undervalued_trades[Symbol],undervalued_trades[[#This Row],[Symbol]],undervalued_trades[Qty]),"")</f>
        <v>11.000000000000227</v>
      </c>
      <c r="I134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5" spans="1:9" x14ac:dyDescent="0.25">
      <c r="A135" s="1">
        <v>45840.395833333336</v>
      </c>
      <c r="B135" t="s">
        <v>50</v>
      </c>
      <c r="C135">
        <v>10</v>
      </c>
      <c r="D135">
        <v>77.099999999999994</v>
      </c>
      <c r="E135">
        <v>-771</v>
      </c>
      <c r="F135" s="2">
        <f>IFERROR(-SUMIF(undervalued_trades[Symbol],undervalued_trades[[#This Row],[Symbol]],undervalued_trades[Cost &amp; Gain])/SUMIF(undervalued_trades[Symbol],undervalued_trades[[#This Row],[Symbol]],undervalued_trades[Qty]),"")</f>
        <v>79.373333333333321</v>
      </c>
      <c r="G135" s="2">
        <f>RTD("tos.rtd", , "LAST", undervalued_trades[[#This Row],[Symbol]])</f>
        <v>79.739999999999995</v>
      </c>
      <c r="H135" s="2">
        <f>IFERROR((undervalued_trades[[#This Row],[Current Price]]-undervalued_trades[[#This Row],[Avg Price]])*SUMIF(undervalued_trades[Symbol],undervalued_trades[[#This Row],[Symbol]],undervalued_trades[Qty]),"")</f>
        <v>11.000000000000227</v>
      </c>
      <c r="I135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  <row r="136" spans="1:9" x14ac:dyDescent="0.25">
      <c r="A136" s="1">
        <v>45902.395856481482</v>
      </c>
      <c r="B136" t="s">
        <v>50</v>
      </c>
      <c r="C136">
        <v>10</v>
      </c>
      <c r="D136">
        <v>80.03</v>
      </c>
      <c r="E136">
        <v>-800.3</v>
      </c>
      <c r="F136" s="2">
        <f>IFERROR(-SUMIF(undervalued_trades[Symbol],undervalued_trades[[#This Row],[Symbol]],undervalued_trades[Cost &amp; Gain])/SUMIF(undervalued_trades[Symbol],undervalued_trades[[#This Row],[Symbol]],undervalued_trades[Qty]),"")</f>
        <v>79.373333333333321</v>
      </c>
      <c r="G136" s="2">
        <f>RTD("tos.rtd", , "LAST", undervalued_trades[[#This Row],[Symbol]])</f>
        <v>79.739999999999995</v>
      </c>
      <c r="H136" s="2">
        <f>IFERROR((undervalued_trades[[#This Row],[Current Price]]-undervalued_trades[[#This Row],[Avg Price]])*SUMIF(undervalued_trades[Symbol],undervalued_trades[[#This Row],[Symbol]],undervalued_trades[Qty]),"")</f>
        <v>11.000000000000227</v>
      </c>
      <c r="I136" s="2" t="str">
        <f>IF(AND(undervalued_trades[[#This Row],[Open P&amp;L]] = "", undervalued_trades[[#This Row],[Exec Time]] = _xlfn.MAXIFS(undervalued_trades[Exec Time], undervalued_trades[Symbol], undervalued_trades[[#This Row],[Symbol]])), (SUMIF(undervalued_trades[Symbol], undervalued_trades[[#This Row],[Symbol]], undervalued_trades[Cost &amp; Gain])), "")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FD6D-40F5-4660-8D5E-322A26BEE35F}">
  <dimension ref="A1:D66"/>
  <sheetViews>
    <sheetView workbookViewId="0">
      <selection activeCell="S14" sqref="S14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9.7109375" bestFit="1" customWidth="1"/>
    <col min="4" max="4" width="12" bestFit="1" customWidth="1"/>
  </cols>
  <sheetData>
    <row r="1" spans="1:4" x14ac:dyDescent="0.25">
      <c r="A1" t="s">
        <v>92</v>
      </c>
      <c r="B1" t="s">
        <v>2</v>
      </c>
      <c r="C1" t="s">
        <v>90</v>
      </c>
      <c r="D1" t="s">
        <v>74</v>
      </c>
    </row>
    <row r="2" spans="1:4" x14ac:dyDescent="0.25">
      <c r="A2" t="s">
        <v>94</v>
      </c>
      <c r="B2" t="s">
        <v>39</v>
      </c>
      <c r="C2" s="18">
        <v>3.2526489373185502E-2</v>
      </c>
      <c r="D2">
        <v>18.431999999999995</v>
      </c>
    </row>
    <row r="3" spans="1:4" x14ac:dyDescent="0.25">
      <c r="A3" t="s">
        <v>94</v>
      </c>
      <c r="B3" t="s">
        <v>48</v>
      </c>
      <c r="C3" s="18">
        <v>8.5108535629989102E-3</v>
      </c>
      <c r="D3">
        <v>86.55</v>
      </c>
    </row>
    <row r="4" spans="1:4" x14ac:dyDescent="0.25">
      <c r="A4" t="s">
        <v>94</v>
      </c>
      <c r="B4" t="s">
        <v>38</v>
      </c>
      <c r="C4" s="18">
        <v>6.3627206579425603E-3</v>
      </c>
      <c r="D4">
        <v>12.209999999999994</v>
      </c>
    </row>
    <row r="5" spans="1:4" x14ac:dyDescent="0.25">
      <c r="A5" t="s">
        <v>94</v>
      </c>
      <c r="B5" t="s">
        <v>28</v>
      </c>
      <c r="C5" s="18">
        <v>2.02545246310218E-2</v>
      </c>
      <c r="D5">
        <v>2.2799999999999727</v>
      </c>
    </row>
    <row r="6" spans="1:4" x14ac:dyDescent="0.25">
      <c r="A6" t="s">
        <v>94</v>
      </c>
      <c r="B6" t="s">
        <v>56</v>
      </c>
      <c r="C6" s="18">
        <v>5.7681044013338104E-3</v>
      </c>
      <c r="D6">
        <v>20.989999999999995</v>
      </c>
    </row>
    <row r="7" spans="1:4" x14ac:dyDescent="0.25">
      <c r="A7" t="s">
        <v>94</v>
      </c>
      <c r="B7" t="s">
        <v>15</v>
      </c>
      <c r="C7" s="18">
        <v>2.04481016266485E-2</v>
      </c>
      <c r="D7">
        <v>138.75</v>
      </c>
    </row>
    <row r="8" spans="1:4" x14ac:dyDescent="0.25">
      <c r="A8" t="s">
        <v>94</v>
      </c>
      <c r="B8" t="s">
        <v>46</v>
      </c>
      <c r="C8" s="18">
        <v>5.7035787361248997E-3</v>
      </c>
      <c r="D8">
        <v>11.680000000000007</v>
      </c>
    </row>
    <row r="9" spans="1:4" x14ac:dyDescent="0.25">
      <c r="A9" t="s">
        <v>94</v>
      </c>
      <c r="B9" t="s">
        <v>40</v>
      </c>
      <c r="C9" s="18">
        <v>6.0441762347592997E-3</v>
      </c>
      <c r="D9">
        <v>2.5949999999999989</v>
      </c>
    </row>
    <row r="10" spans="1:4" x14ac:dyDescent="0.25">
      <c r="A10" t="s">
        <v>94</v>
      </c>
      <c r="B10" t="s">
        <v>21</v>
      </c>
      <c r="C10" s="18">
        <v>8.1678057226477092E-3</v>
      </c>
      <c r="D10">
        <v>17.885000000000005</v>
      </c>
    </row>
    <row r="11" spans="1:4" x14ac:dyDescent="0.25">
      <c r="A11" t="s">
        <v>94</v>
      </c>
      <c r="B11" t="s">
        <v>34</v>
      </c>
      <c r="C11" s="18">
        <v>7.9685112630151003E-3</v>
      </c>
      <c r="D11">
        <v>63.674999999999997</v>
      </c>
    </row>
    <row r="12" spans="1:4" x14ac:dyDescent="0.25">
      <c r="A12" t="s">
        <v>94</v>
      </c>
      <c r="B12" t="s">
        <v>55</v>
      </c>
      <c r="C12" s="18">
        <v>7.2693470931564598E-3</v>
      </c>
      <c r="D12">
        <v>8.7399999999999949</v>
      </c>
    </row>
    <row r="13" spans="1:4" x14ac:dyDescent="0.25">
      <c r="A13" t="s">
        <v>94</v>
      </c>
      <c r="B13" t="s">
        <v>68</v>
      </c>
      <c r="C13" s="18">
        <v>6.7221041097390603E-3</v>
      </c>
      <c r="D13">
        <v>6.4102000000000032</v>
      </c>
    </row>
    <row r="14" spans="1:4" x14ac:dyDescent="0.25">
      <c r="A14" t="s">
        <v>94</v>
      </c>
      <c r="B14" t="s">
        <v>29</v>
      </c>
      <c r="C14" s="18">
        <v>3.8819947038599999E-2</v>
      </c>
      <c r="D14">
        <v>38.439999999999934</v>
      </c>
    </row>
    <row r="15" spans="1:4" x14ac:dyDescent="0.25">
      <c r="A15" t="s">
        <v>94</v>
      </c>
      <c r="B15" t="s">
        <v>22</v>
      </c>
      <c r="C15" s="18">
        <v>1.6340512128729001E-2</v>
      </c>
      <c r="D15">
        <v>77.319999999999993</v>
      </c>
    </row>
    <row r="16" spans="1:4" x14ac:dyDescent="0.25">
      <c r="A16" t="s">
        <v>94</v>
      </c>
      <c r="B16" t="s">
        <v>11</v>
      </c>
      <c r="C16" s="18">
        <v>1.6175522453131499E-2</v>
      </c>
      <c r="D16">
        <v>109.93999999999998</v>
      </c>
    </row>
    <row r="17" spans="1:4" x14ac:dyDescent="0.25">
      <c r="A17" t="s">
        <v>94</v>
      </c>
      <c r="B17" t="s">
        <v>18</v>
      </c>
      <c r="C17" s="18">
        <v>4.8267272198923399E-2</v>
      </c>
      <c r="D17">
        <v>119.17960000000008</v>
      </c>
    </row>
    <row r="18" spans="1:4" x14ac:dyDescent="0.25">
      <c r="A18" t="s">
        <v>94</v>
      </c>
      <c r="B18" t="s">
        <v>12</v>
      </c>
      <c r="C18" s="18">
        <v>2.4274718607708998E-2</v>
      </c>
      <c r="D18">
        <v>110.8</v>
      </c>
    </row>
    <row r="19" spans="1:4" x14ac:dyDescent="0.25">
      <c r="A19" t="s">
        <v>94</v>
      </c>
      <c r="B19" t="s">
        <v>8</v>
      </c>
      <c r="C19" s="18">
        <v>7.6524171815486397E-3</v>
      </c>
      <c r="D19">
        <v>7.1549999999999798</v>
      </c>
    </row>
    <row r="20" spans="1:4" x14ac:dyDescent="0.25">
      <c r="A20" t="s">
        <v>94</v>
      </c>
      <c r="B20" t="s">
        <v>45</v>
      </c>
      <c r="C20" s="18">
        <v>7.8410934937417995E-3</v>
      </c>
      <c r="D20">
        <v>25.529999999999994</v>
      </c>
    </row>
    <row r="21" spans="1:4" x14ac:dyDescent="0.25">
      <c r="A21" t="s">
        <v>94</v>
      </c>
      <c r="B21" t="s">
        <v>36</v>
      </c>
      <c r="C21" s="18">
        <v>1.4457016129086399E-2</v>
      </c>
      <c r="D21">
        <v>13.000000000000007</v>
      </c>
    </row>
    <row r="22" spans="1:4" x14ac:dyDescent="0.25">
      <c r="A22" t="s">
        <v>94</v>
      </c>
      <c r="B22" t="s">
        <v>67</v>
      </c>
      <c r="C22" s="18">
        <v>6.3986590031222196E-3</v>
      </c>
      <c r="D22">
        <v>8.8459000000000003</v>
      </c>
    </row>
    <row r="23" spans="1:4" x14ac:dyDescent="0.25">
      <c r="A23" t="s">
        <v>94</v>
      </c>
      <c r="B23" t="s">
        <v>20</v>
      </c>
      <c r="C23" s="18">
        <v>1.37219136140482E-2</v>
      </c>
      <c r="D23">
        <v>23.560000000000002</v>
      </c>
    </row>
    <row r="24" spans="1:4" x14ac:dyDescent="0.25">
      <c r="A24" t="s">
        <v>94</v>
      </c>
      <c r="B24" t="s">
        <v>32</v>
      </c>
      <c r="C24" s="18">
        <v>1.41490898533426E-2</v>
      </c>
      <c r="D24">
        <v>24.570000000000007</v>
      </c>
    </row>
    <row r="25" spans="1:4" x14ac:dyDescent="0.25">
      <c r="A25" t="s">
        <v>94</v>
      </c>
      <c r="B25" t="s">
        <v>13</v>
      </c>
      <c r="C25" s="18">
        <v>9.4321820485135707E-3</v>
      </c>
      <c r="D25">
        <v>1.4200000000000159</v>
      </c>
    </row>
    <row r="26" spans="1:4" x14ac:dyDescent="0.25">
      <c r="A26" t="s">
        <v>94</v>
      </c>
      <c r="B26" t="s">
        <v>51</v>
      </c>
      <c r="C26" s="18">
        <v>1.88316928741366E-2</v>
      </c>
      <c r="D26">
        <v>9.0200000000000102</v>
      </c>
    </row>
    <row r="27" spans="1:4" x14ac:dyDescent="0.25">
      <c r="A27" t="s">
        <v>94</v>
      </c>
      <c r="B27" t="s">
        <v>64</v>
      </c>
      <c r="C27" s="18">
        <v>6.8838266630474902E-3</v>
      </c>
      <c r="D27">
        <v>9.25</v>
      </c>
    </row>
    <row r="28" spans="1:4" x14ac:dyDescent="0.25">
      <c r="A28" t="s">
        <v>94</v>
      </c>
      <c r="B28" t="s">
        <v>57</v>
      </c>
      <c r="C28" s="18">
        <v>5.7828064516345801E-3</v>
      </c>
      <c r="D28">
        <v>2.0999999999999872</v>
      </c>
    </row>
    <row r="29" spans="1:4" x14ac:dyDescent="0.25">
      <c r="A29" t="s">
        <v>94</v>
      </c>
      <c r="B29" t="s">
        <v>59</v>
      </c>
      <c r="C29" s="18">
        <v>5.7991420630798696E-3</v>
      </c>
      <c r="D29">
        <v>46.199799999999996</v>
      </c>
    </row>
    <row r="30" spans="1:4" x14ac:dyDescent="0.25">
      <c r="A30" t="s">
        <v>94</v>
      </c>
      <c r="B30" t="s">
        <v>44</v>
      </c>
      <c r="C30" s="18">
        <v>6.5326110169736402E-3</v>
      </c>
      <c r="D30">
        <v>40.92</v>
      </c>
    </row>
    <row r="31" spans="1:4" x14ac:dyDescent="0.25">
      <c r="A31" t="s">
        <v>94</v>
      </c>
      <c r="B31" t="s">
        <v>41</v>
      </c>
      <c r="C31" s="18">
        <v>1.25669858848658E-2</v>
      </c>
      <c r="D31">
        <v>22.779999999999973</v>
      </c>
    </row>
    <row r="32" spans="1:4" x14ac:dyDescent="0.25">
      <c r="A32" t="s">
        <v>94</v>
      </c>
      <c r="B32" t="s">
        <v>30</v>
      </c>
      <c r="C32" s="18">
        <v>4.9614519081651202E-2</v>
      </c>
      <c r="D32">
        <v>64.910000000000139</v>
      </c>
    </row>
    <row r="33" spans="1:4" x14ac:dyDescent="0.25">
      <c r="A33" t="s">
        <v>94</v>
      </c>
      <c r="B33" t="s">
        <v>33</v>
      </c>
      <c r="C33" s="18">
        <v>4.7373273191356697E-3</v>
      </c>
      <c r="D33">
        <v>6.480000000000004</v>
      </c>
    </row>
    <row r="34" spans="1:4" x14ac:dyDescent="0.25">
      <c r="A34" t="s">
        <v>94</v>
      </c>
      <c r="B34" t="s">
        <v>43</v>
      </c>
      <c r="C34" s="18">
        <v>4.8190053763621501E-3</v>
      </c>
      <c r="D34">
        <v>3.2999999999999972</v>
      </c>
    </row>
    <row r="35" spans="1:4" x14ac:dyDescent="0.25">
      <c r="A35" t="s">
        <v>94</v>
      </c>
      <c r="B35" t="s">
        <v>49</v>
      </c>
      <c r="C35" s="18">
        <v>2.2913962174315902E-2</v>
      </c>
      <c r="D35">
        <v>75.044999999999973</v>
      </c>
    </row>
    <row r="36" spans="1:4" x14ac:dyDescent="0.25">
      <c r="A36" t="s">
        <v>94</v>
      </c>
      <c r="B36" t="s">
        <v>16</v>
      </c>
      <c r="C36" s="18">
        <v>6.5342445781181703E-3</v>
      </c>
      <c r="D36">
        <v>59.3</v>
      </c>
    </row>
    <row r="37" spans="1:4" x14ac:dyDescent="0.25">
      <c r="A37" t="s">
        <v>94</v>
      </c>
      <c r="B37" t="s">
        <v>62</v>
      </c>
      <c r="C37" s="18">
        <v>1.4246286741442101E-2</v>
      </c>
      <c r="D37">
        <v>17.339999999999975</v>
      </c>
    </row>
    <row r="38" spans="1:4" x14ac:dyDescent="0.25">
      <c r="A38" t="s">
        <v>94</v>
      </c>
      <c r="B38" t="s">
        <v>50</v>
      </c>
      <c r="C38" s="18">
        <v>1.9449178986768699E-2</v>
      </c>
      <c r="D38">
        <v>1.07000000000005</v>
      </c>
    </row>
    <row r="39" spans="1:4" x14ac:dyDescent="0.25">
      <c r="A39" t="s">
        <v>95</v>
      </c>
      <c r="B39" t="s">
        <v>60</v>
      </c>
      <c r="C39" s="18">
        <v>6.5342445781181703E-3</v>
      </c>
      <c r="D39">
        <v>-1.0949999999999989</v>
      </c>
    </row>
    <row r="40" spans="1:4" x14ac:dyDescent="0.25">
      <c r="A40" t="s">
        <v>95</v>
      </c>
      <c r="B40" t="s">
        <v>69</v>
      </c>
      <c r="C40" s="18">
        <v>2.0348454396832201E-2</v>
      </c>
      <c r="D40">
        <v>-0.56000000000000227</v>
      </c>
    </row>
    <row r="41" spans="1:4" x14ac:dyDescent="0.25">
      <c r="A41" t="s">
        <v>95</v>
      </c>
      <c r="B41" t="s">
        <v>10</v>
      </c>
      <c r="C41" s="18">
        <v>8.1473862083410904E-3</v>
      </c>
      <c r="D41">
        <v>-27.098775000000007</v>
      </c>
    </row>
    <row r="42" spans="1:4" x14ac:dyDescent="0.25">
      <c r="A42" t="s">
        <v>95</v>
      </c>
      <c r="B42" t="s">
        <v>66</v>
      </c>
      <c r="C42" s="18">
        <v>7.75941543651532E-3</v>
      </c>
      <c r="D42">
        <v>-28.075000000000003</v>
      </c>
    </row>
    <row r="43" spans="1:4" x14ac:dyDescent="0.25">
      <c r="A43" t="s">
        <v>95</v>
      </c>
      <c r="B43" t="s">
        <v>17</v>
      </c>
      <c r="C43" s="18">
        <v>1.6131416302229199E-2</v>
      </c>
      <c r="D43">
        <v>-10.919999999999987</v>
      </c>
    </row>
    <row r="44" spans="1:4" x14ac:dyDescent="0.25">
      <c r="A44" t="s">
        <v>95</v>
      </c>
      <c r="B44" t="s">
        <v>26</v>
      </c>
      <c r="C44" s="18">
        <v>8.1669889420754403E-3</v>
      </c>
      <c r="D44">
        <v>-16.409999999999997</v>
      </c>
    </row>
    <row r="45" spans="1:4" x14ac:dyDescent="0.25">
      <c r="A45" t="s">
        <v>95</v>
      </c>
      <c r="B45" t="s">
        <v>42</v>
      </c>
      <c r="C45" s="18">
        <v>7.32570495264273E-3</v>
      </c>
      <c r="D45">
        <v>-2.2150000000000034</v>
      </c>
    </row>
    <row r="46" spans="1:4" x14ac:dyDescent="0.25">
      <c r="A46" t="s">
        <v>95</v>
      </c>
      <c r="B46" t="s">
        <v>25</v>
      </c>
      <c r="C46" s="18">
        <v>3.0957617249979301E-2</v>
      </c>
      <c r="D46">
        <v>-0.12000000000000455</v>
      </c>
    </row>
    <row r="47" spans="1:4" x14ac:dyDescent="0.25">
      <c r="A47" t="s">
        <v>95</v>
      </c>
      <c r="B47" t="s">
        <v>19</v>
      </c>
      <c r="C47" s="18">
        <v>8.2086447512609503E-3</v>
      </c>
      <c r="D47">
        <v>-9.1000000000000014</v>
      </c>
    </row>
    <row r="48" spans="1:4" x14ac:dyDescent="0.25">
      <c r="A48" t="s">
        <v>95</v>
      </c>
      <c r="B48" t="s">
        <v>31</v>
      </c>
      <c r="C48" s="18">
        <v>1.43965743667388E-2</v>
      </c>
      <c r="D48">
        <v>-24.53</v>
      </c>
    </row>
    <row r="49" spans="1:4" x14ac:dyDescent="0.25">
      <c r="A49" t="s">
        <v>95</v>
      </c>
      <c r="B49" t="s">
        <v>52</v>
      </c>
      <c r="C49" s="18">
        <v>8.1939427009601797E-3</v>
      </c>
      <c r="D49">
        <v>-41.339999999999989</v>
      </c>
    </row>
    <row r="50" spans="1:4" x14ac:dyDescent="0.25">
      <c r="A50" t="s">
        <v>95</v>
      </c>
      <c r="B50" t="s">
        <v>35</v>
      </c>
      <c r="C50" s="18">
        <v>3.08865573401923E-2</v>
      </c>
      <c r="D50">
        <v>-24.549999999999955</v>
      </c>
    </row>
    <row r="51" spans="1:4" x14ac:dyDescent="0.25">
      <c r="A51" t="s">
        <v>95</v>
      </c>
      <c r="B51" t="s">
        <v>54</v>
      </c>
      <c r="C51" s="18">
        <v>7.5143812648358899E-3</v>
      </c>
      <c r="D51">
        <v>-10.840000000000003</v>
      </c>
    </row>
    <row r="52" spans="1:4" x14ac:dyDescent="0.25">
      <c r="A52" t="s">
        <v>95</v>
      </c>
      <c r="B52" t="s">
        <v>24</v>
      </c>
      <c r="C52" s="18">
        <v>7.5143812648358899E-3</v>
      </c>
      <c r="D52">
        <v>-4.7999999999999972</v>
      </c>
    </row>
    <row r="53" spans="1:4" x14ac:dyDescent="0.25">
      <c r="A53" t="s">
        <v>95</v>
      </c>
      <c r="B53" t="s">
        <v>14</v>
      </c>
      <c r="C53" s="18">
        <v>7.6238298615193701E-3</v>
      </c>
      <c r="D53">
        <v>-2.0800000000000134</v>
      </c>
    </row>
    <row r="54" spans="1:4" x14ac:dyDescent="0.25">
      <c r="A54" t="s">
        <v>95</v>
      </c>
      <c r="B54" t="s">
        <v>53</v>
      </c>
      <c r="C54" s="18">
        <v>1.8825975410130699E-2</v>
      </c>
      <c r="D54">
        <v>-3.1899999999999977</v>
      </c>
    </row>
    <row r="55" spans="1:4" x14ac:dyDescent="0.25">
      <c r="A55" t="s">
        <v>95</v>
      </c>
      <c r="B55" t="s">
        <v>23</v>
      </c>
      <c r="C55" s="18">
        <v>2.3896957593036498E-2</v>
      </c>
      <c r="D55">
        <v>-49.201800000000034</v>
      </c>
    </row>
    <row r="56" spans="1:4" x14ac:dyDescent="0.25">
      <c r="A56" t="s">
        <v>95</v>
      </c>
      <c r="B56" t="s">
        <v>27</v>
      </c>
      <c r="C56" s="18">
        <v>2.3278246309545999E-2</v>
      </c>
      <c r="D56">
        <v>-43.949999999999996</v>
      </c>
    </row>
    <row r="57" spans="1:4" x14ac:dyDescent="0.25">
      <c r="A57" t="s">
        <v>95</v>
      </c>
      <c r="B57" t="s">
        <v>37</v>
      </c>
      <c r="C57" s="18">
        <v>7.35755939496106E-3</v>
      </c>
      <c r="D57">
        <v>-4.4599999999999937</v>
      </c>
    </row>
    <row r="58" spans="1:4" x14ac:dyDescent="0.25">
      <c r="A58" t="s">
        <v>95</v>
      </c>
      <c r="B58" t="s">
        <v>9</v>
      </c>
      <c r="C58" s="18">
        <v>8.3311618371006597E-3</v>
      </c>
      <c r="D58">
        <v>-58.859999999999992</v>
      </c>
    </row>
    <row r="59" spans="1:4" x14ac:dyDescent="0.25">
      <c r="A59" t="s">
        <v>95</v>
      </c>
      <c r="B59" t="s">
        <v>63</v>
      </c>
      <c r="C59" s="18">
        <v>7.76186577823212E-3</v>
      </c>
      <c r="D59">
        <v>-9.1299999999999955</v>
      </c>
    </row>
    <row r="60" spans="1:4" x14ac:dyDescent="0.25">
      <c r="A60" t="s">
        <v>95</v>
      </c>
      <c r="B60" t="s">
        <v>58</v>
      </c>
      <c r="C60" s="18">
        <v>1.59778615546434E-2</v>
      </c>
      <c r="D60">
        <v>-14.479999999999983</v>
      </c>
    </row>
    <row r="61" spans="1:4" x14ac:dyDescent="0.25">
      <c r="A61" t="s">
        <v>95</v>
      </c>
      <c r="B61" t="s">
        <v>61</v>
      </c>
      <c r="C61" s="18">
        <v>7.8329256880191496E-3</v>
      </c>
      <c r="D61">
        <v>-7.419999999999991</v>
      </c>
    </row>
    <row r="62" spans="1:4" x14ac:dyDescent="0.25">
      <c r="A62" t="s">
        <v>95</v>
      </c>
      <c r="B62" t="s">
        <v>65</v>
      </c>
      <c r="C62" s="18">
        <v>1.6115897471356201E-2</v>
      </c>
      <c r="D62">
        <v>-24.509999999999984</v>
      </c>
    </row>
    <row r="63" spans="1:4" x14ac:dyDescent="0.25">
      <c r="A63" t="s">
        <v>95</v>
      </c>
      <c r="B63" t="s">
        <v>47</v>
      </c>
      <c r="C63" s="18">
        <v>2.4335487082285501E-2</v>
      </c>
      <c r="D63">
        <v>-9.5790000000000362</v>
      </c>
    </row>
    <row r="64" spans="1:4" x14ac:dyDescent="0.25">
      <c r="A64" t="s">
        <v>95</v>
      </c>
      <c r="B64" t="s">
        <v>6</v>
      </c>
      <c r="C64" s="18">
        <v>2.28576043148296E-2</v>
      </c>
      <c r="D64">
        <v>-92.650000000000034</v>
      </c>
    </row>
    <row r="65" spans="1:4" x14ac:dyDescent="0.25">
      <c r="A65" t="s">
        <v>95</v>
      </c>
      <c r="B65" t="s">
        <v>5</v>
      </c>
      <c r="C65" s="18">
        <v>5.3438685720994902E-2</v>
      </c>
      <c r="D65">
        <v>-195.26000000000005</v>
      </c>
    </row>
    <row r="66" spans="1:4" x14ac:dyDescent="0.25">
      <c r="A66" t="s">
        <v>93</v>
      </c>
      <c r="B66" t="s">
        <v>7</v>
      </c>
      <c r="C66" s="1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B14-6092-4030-AE13-7D1941AD7C32}">
  <dimension ref="A1:M69"/>
  <sheetViews>
    <sheetView zoomScale="120" zoomScaleNormal="120" workbookViewId="0">
      <pane ySplit="3" topLeftCell="A4" activePane="bottomLeft" state="frozen"/>
      <selection pane="bottomLeft" activeCell="I18" sqref="I18"/>
    </sheetView>
  </sheetViews>
  <sheetFormatPr defaultRowHeight="15" x14ac:dyDescent="0.25"/>
  <cols>
    <col min="1" max="1" width="15.7109375" bestFit="1" customWidth="1"/>
    <col min="2" max="2" width="9" bestFit="1" customWidth="1"/>
    <col min="3" max="3" width="9.7109375" bestFit="1" customWidth="1"/>
    <col min="4" max="4" width="16.5703125" bestFit="1" customWidth="1"/>
    <col min="5" max="5" width="13.28515625" bestFit="1" customWidth="1"/>
    <col min="6" max="6" width="11.7109375" bestFit="1" customWidth="1"/>
    <col min="7" max="7" width="16.140625" bestFit="1" customWidth="1"/>
    <col min="8" max="8" width="13.42578125" bestFit="1" customWidth="1"/>
    <col min="9" max="9" width="13" bestFit="1" customWidth="1"/>
    <col min="10" max="10" width="12" bestFit="1" customWidth="1"/>
    <col min="11" max="11" width="16.5703125" bestFit="1" customWidth="1"/>
    <col min="12" max="12" width="16.140625" bestFit="1" customWidth="1"/>
    <col min="13" max="14" width="3.28515625" bestFit="1" customWidth="1"/>
    <col min="15" max="15" width="9.28515625" bestFit="1" customWidth="1"/>
    <col min="16" max="16" width="6.5703125" bestFit="1" customWidth="1"/>
    <col min="17" max="17" width="3.28515625" bestFit="1" customWidth="1"/>
    <col min="18" max="18" width="12" bestFit="1" customWidth="1"/>
    <col min="19" max="19" width="6.5703125" bestFit="1" customWidth="1"/>
    <col min="20" max="21" width="6.42578125" bestFit="1" customWidth="1"/>
    <col min="22" max="22" width="3.28515625" bestFit="1" customWidth="1"/>
    <col min="23" max="23" width="6.42578125" bestFit="1" customWidth="1"/>
    <col min="24" max="24" width="3.28515625" bestFit="1" customWidth="1"/>
    <col min="25" max="25" width="6.42578125" bestFit="1" customWidth="1"/>
    <col min="26" max="26" width="5.42578125" bestFit="1" customWidth="1"/>
    <col min="27" max="27" width="3.28515625" bestFit="1" customWidth="1"/>
    <col min="28" max="30" width="6.42578125" bestFit="1" customWidth="1"/>
    <col min="31" max="31" width="3.28515625" bestFit="1" customWidth="1"/>
    <col min="32" max="32" width="6.42578125" bestFit="1" customWidth="1"/>
    <col min="33" max="34" width="3.28515625" bestFit="1" customWidth="1"/>
    <col min="35" max="36" width="5.42578125" bestFit="1" customWidth="1"/>
    <col min="37" max="37" width="3.28515625" bestFit="1" customWidth="1"/>
    <col min="38" max="39" width="6.42578125" bestFit="1" customWidth="1"/>
    <col min="40" max="40" width="4.28515625" bestFit="1" customWidth="1"/>
    <col min="41" max="41" width="6.42578125" bestFit="1" customWidth="1"/>
    <col min="42" max="42" width="5.42578125" bestFit="1" customWidth="1"/>
    <col min="43" max="44" width="6.42578125" bestFit="1" customWidth="1"/>
    <col min="45" max="45" width="5.42578125" bestFit="1" customWidth="1"/>
    <col min="46" max="46" width="6.42578125" bestFit="1" customWidth="1"/>
    <col min="47" max="47" width="5.42578125" bestFit="1" customWidth="1"/>
    <col min="48" max="48" width="4.28515625" bestFit="1" customWidth="1"/>
    <col min="49" max="49" width="6.42578125" bestFit="1" customWidth="1"/>
    <col min="50" max="50" width="5.42578125" bestFit="1" customWidth="1"/>
    <col min="51" max="51" width="6.42578125" bestFit="1" customWidth="1"/>
    <col min="52" max="52" width="3.28515625" bestFit="1" customWidth="1"/>
    <col min="53" max="54" width="6.42578125" bestFit="1" customWidth="1"/>
    <col min="55" max="55" width="5.42578125" bestFit="1" customWidth="1"/>
    <col min="56" max="56" width="6.42578125" bestFit="1" customWidth="1"/>
    <col min="57" max="57" width="3.28515625" bestFit="1" customWidth="1"/>
    <col min="58" max="60" width="6.42578125" bestFit="1" customWidth="1"/>
    <col min="61" max="61" width="4.28515625" bestFit="1" customWidth="1"/>
    <col min="62" max="62" width="6.42578125" bestFit="1" customWidth="1"/>
    <col min="63" max="63" width="5.42578125" bestFit="1" customWidth="1"/>
    <col min="64" max="66" width="6.42578125" bestFit="1" customWidth="1"/>
    <col min="67" max="67" width="4.28515625" bestFit="1" customWidth="1"/>
    <col min="68" max="70" width="6.42578125" bestFit="1" customWidth="1"/>
    <col min="71" max="72" width="5.42578125" bestFit="1" customWidth="1"/>
    <col min="73" max="73" width="4.28515625" bestFit="1" customWidth="1"/>
    <col min="74" max="74" width="6.42578125" bestFit="1" customWidth="1"/>
    <col min="75" max="75" width="4.28515625" bestFit="1" customWidth="1"/>
    <col min="76" max="80" width="6.42578125" bestFit="1" customWidth="1"/>
    <col min="81" max="81" width="5.42578125" bestFit="1" customWidth="1"/>
    <col min="82" max="82" width="6.42578125" bestFit="1" customWidth="1"/>
    <col min="83" max="83" width="7.5703125" bestFit="1" customWidth="1"/>
    <col min="84" max="85" width="5.42578125" bestFit="1" customWidth="1"/>
    <col min="86" max="89" width="6.42578125" bestFit="1" customWidth="1"/>
    <col min="90" max="91" width="3.28515625" bestFit="1" customWidth="1"/>
    <col min="92" max="92" width="6.42578125" bestFit="1" customWidth="1"/>
    <col min="93" max="93" width="7.5703125" bestFit="1" customWidth="1"/>
    <col min="94" max="95" width="6.42578125" bestFit="1" customWidth="1"/>
    <col min="96" max="97" width="5.42578125" bestFit="1" customWidth="1"/>
    <col min="98" max="98" width="7.5703125" bestFit="1" customWidth="1"/>
    <col min="99" max="99" width="4.28515625" bestFit="1" customWidth="1"/>
    <col min="100" max="100" width="7.5703125" bestFit="1" customWidth="1"/>
    <col min="101" max="101" width="9.7109375" bestFit="1" customWidth="1"/>
    <col min="102" max="102" width="7.5703125" bestFit="1" customWidth="1"/>
    <col min="103" max="103" width="6.42578125" bestFit="1" customWidth="1"/>
    <col min="104" max="105" width="7.5703125" bestFit="1" customWidth="1"/>
    <col min="106" max="106" width="8.5703125" bestFit="1" customWidth="1"/>
    <col min="107" max="107" width="4.28515625" bestFit="1" customWidth="1"/>
    <col min="108" max="109" width="7.5703125" bestFit="1" customWidth="1"/>
    <col min="110" max="110" width="6.42578125" bestFit="1" customWidth="1"/>
    <col min="111" max="111" width="4.28515625" bestFit="1" customWidth="1"/>
    <col min="112" max="113" width="6.42578125" bestFit="1" customWidth="1"/>
    <col min="114" max="114" width="7.5703125" bestFit="1" customWidth="1"/>
    <col min="115" max="115" width="4.28515625" bestFit="1" customWidth="1"/>
    <col min="116" max="117" width="7.5703125" bestFit="1" customWidth="1"/>
    <col min="118" max="119" width="6.42578125" bestFit="1" customWidth="1"/>
    <col min="120" max="121" width="7.5703125" bestFit="1" customWidth="1"/>
    <col min="122" max="122" width="11.85546875" bestFit="1" customWidth="1"/>
  </cols>
  <sheetData>
    <row r="1" spans="1:13" ht="15.75" thickBot="1" x14ac:dyDescent="0.3">
      <c r="A1" s="11" t="s">
        <v>96</v>
      </c>
      <c r="B1" s="15">
        <f>COUNTA(undervalued_stocks[Symbol])</f>
        <v>66</v>
      </c>
      <c r="D1" s="11" t="s">
        <v>97</v>
      </c>
      <c r="E1" s="15">
        <f>COUNTA(undervalued_trades[Exec Time])</f>
        <v>135</v>
      </c>
      <c r="G1" s="11" t="s">
        <v>104</v>
      </c>
      <c r="H1" s="25">
        <f>GETPIVOTDATA("[Measures].[Sum of Cost &amp; Gain]",$H$3)</f>
        <v>-108764.59200000002</v>
      </c>
    </row>
    <row r="3" spans="1:13" s="8" customFormat="1" x14ac:dyDescent="0.25">
      <c r="A3" s="6" t="s">
        <v>72</v>
      </c>
      <c r="B3" s="7" t="s">
        <v>85</v>
      </c>
      <c r="C3" s="23" t="s">
        <v>101</v>
      </c>
      <c r="D3" s="23" t="s">
        <v>104</v>
      </c>
      <c r="E3" s="7" t="s">
        <v>102</v>
      </c>
      <c r="F3" s="7" t="s">
        <v>103</v>
      </c>
      <c r="H3" s="24" t="s">
        <v>72</v>
      </c>
      <c r="I3" t="s">
        <v>97</v>
      </c>
      <c r="J3" t="s">
        <v>96</v>
      </c>
      <c r="K3" s="26" t="s">
        <v>104</v>
      </c>
      <c r="M3"/>
    </row>
    <row r="4" spans="1:13" x14ac:dyDescent="0.25">
      <c r="A4" s="3" t="s">
        <v>39</v>
      </c>
      <c r="B4" s="32">
        <v>1660</v>
      </c>
      <c r="C4" s="4">
        <v>2.4900000000000002</v>
      </c>
      <c r="D4" s="32">
        <v>-3982.28</v>
      </c>
      <c r="E4" s="4">
        <v>2.398963855421687</v>
      </c>
      <c r="F4" s="32">
        <v>0</v>
      </c>
      <c r="H4" s="22" t="s">
        <v>99</v>
      </c>
      <c r="I4" s="31">
        <v>12</v>
      </c>
      <c r="J4" s="31">
        <v>9</v>
      </c>
      <c r="K4" s="26">
        <v>-6831.5680000000002</v>
      </c>
    </row>
    <row r="5" spans="1:13" x14ac:dyDescent="0.25">
      <c r="A5" s="3" t="s">
        <v>60</v>
      </c>
      <c r="B5" s="32">
        <v>10</v>
      </c>
      <c r="C5" s="4">
        <v>80</v>
      </c>
      <c r="D5" s="32">
        <v>-800</v>
      </c>
      <c r="E5" s="4">
        <v>80</v>
      </c>
      <c r="F5" s="32">
        <v>0</v>
      </c>
      <c r="H5" s="22" t="s">
        <v>98</v>
      </c>
      <c r="I5" s="31">
        <v>123</v>
      </c>
      <c r="J5" s="31">
        <v>62</v>
      </c>
      <c r="K5" s="26">
        <v>-101933.024</v>
      </c>
    </row>
    <row r="6" spans="1:13" x14ac:dyDescent="0.25">
      <c r="A6" s="3" t="s">
        <v>69</v>
      </c>
      <c r="B6" s="32">
        <v>10</v>
      </c>
      <c r="C6" s="4">
        <v>249.13</v>
      </c>
      <c r="D6" s="32">
        <v>-2491.3000000000002</v>
      </c>
      <c r="E6" s="4">
        <v>249.13000000000002</v>
      </c>
      <c r="F6" s="32">
        <v>0</v>
      </c>
      <c r="H6" s="22" t="s">
        <v>100</v>
      </c>
      <c r="I6" s="31">
        <v>135</v>
      </c>
      <c r="J6" s="31">
        <v>66</v>
      </c>
      <c r="K6" s="26">
        <v>-108764.59200000002</v>
      </c>
    </row>
    <row r="7" spans="1:13" x14ac:dyDescent="0.25">
      <c r="A7" s="3" t="s">
        <v>48</v>
      </c>
      <c r="B7" s="32">
        <v>100</v>
      </c>
      <c r="C7" s="4">
        <v>10.42</v>
      </c>
      <c r="D7" s="32">
        <v>-1042</v>
      </c>
      <c r="E7" s="4">
        <v>10.42</v>
      </c>
      <c r="F7" s="32">
        <v>0</v>
      </c>
    </row>
    <row r="8" spans="1:13" x14ac:dyDescent="0.25">
      <c r="A8" s="3" t="s">
        <v>10</v>
      </c>
      <c r="B8" s="32">
        <v>750</v>
      </c>
      <c r="C8" s="4">
        <v>1.33</v>
      </c>
      <c r="D8" s="32">
        <v>-997.5</v>
      </c>
      <c r="E8" s="4">
        <v>1.33</v>
      </c>
      <c r="F8" s="32">
        <v>0</v>
      </c>
    </row>
    <row r="9" spans="1:13" x14ac:dyDescent="0.25">
      <c r="A9" s="3" t="s">
        <v>38</v>
      </c>
      <c r="B9" s="32">
        <v>20</v>
      </c>
      <c r="C9" s="4">
        <v>38.950000000000003</v>
      </c>
      <c r="D9" s="32">
        <v>-779</v>
      </c>
      <c r="E9" s="4">
        <v>38.950000000000003</v>
      </c>
      <c r="F9" s="32">
        <v>0</v>
      </c>
    </row>
    <row r="10" spans="1:13" x14ac:dyDescent="0.25">
      <c r="A10" s="3" t="s">
        <v>28</v>
      </c>
      <c r="B10" s="32">
        <v>40</v>
      </c>
      <c r="C10" s="4">
        <v>70</v>
      </c>
      <c r="D10" s="32">
        <v>-2479.8000000000002</v>
      </c>
      <c r="E10" s="4">
        <v>61.995000000000005</v>
      </c>
      <c r="F10" s="32">
        <v>0</v>
      </c>
    </row>
    <row r="11" spans="1:13" x14ac:dyDescent="0.25">
      <c r="A11" s="3" t="s">
        <v>56</v>
      </c>
      <c r="B11" s="32">
        <v>10</v>
      </c>
      <c r="C11" s="4">
        <v>70.62</v>
      </c>
      <c r="D11" s="32">
        <v>-706.2</v>
      </c>
      <c r="E11" s="4">
        <v>70.62</v>
      </c>
      <c r="F11" s="32">
        <v>0</v>
      </c>
    </row>
    <row r="12" spans="1:13" x14ac:dyDescent="0.25">
      <c r="A12" s="3" t="s">
        <v>15</v>
      </c>
      <c r="B12" s="32">
        <v>150</v>
      </c>
      <c r="C12" s="4">
        <v>20.23</v>
      </c>
      <c r="D12" s="32">
        <v>-2503.5</v>
      </c>
      <c r="E12" s="4">
        <v>16.690000000000001</v>
      </c>
      <c r="F12" s="32">
        <v>0</v>
      </c>
    </row>
    <row r="13" spans="1:13" x14ac:dyDescent="0.25">
      <c r="A13" s="3" t="s">
        <v>46</v>
      </c>
      <c r="B13" s="32">
        <v>10</v>
      </c>
      <c r="C13" s="4">
        <v>69.83</v>
      </c>
      <c r="D13" s="32">
        <v>-698.3</v>
      </c>
      <c r="E13" s="4">
        <v>69.83</v>
      </c>
      <c r="F13" s="32">
        <v>0</v>
      </c>
    </row>
    <row r="14" spans="1:13" x14ac:dyDescent="0.25">
      <c r="A14" s="3" t="s">
        <v>7</v>
      </c>
      <c r="B14" s="32">
        <v>0</v>
      </c>
      <c r="C14" s="4">
        <v>17.9404</v>
      </c>
      <c r="D14" s="32">
        <v>435.23199999999997</v>
      </c>
      <c r="E14" s="4">
        <v>0</v>
      </c>
      <c r="F14" s="32">
        <v>435.23199999999997</v>
      </c>
    </row>
    <row r="15" spans="1:13" x14ac:dyDescent="0.25">
      <c r="A15" s="3" t="s">
        <v>66</v>
      </c>
      <c r="B15" s="32">
        <v>50</v>
      </c>
      <c r="C15" s="4">
        <v>19</v>
      </c>
      <c r="D15" s="32">
        <v>-950</v>
      </c>
      <c r="E15" s="4">
        <v>19</v>
      </c>
      <c r="F15" s="32">
        <v>0</v>
      </c>
    </row>
    <row r="16" spans="1:13" x14ac:dyDescent="0.25">
      <c r="A16" s="3" t="s">
        <v>17</v>
      </c>
      <c r="B16" s="32">
        <v>20</v>
      </c>
      <c r="C16" s="4">
        <v>107.5</v>
      </c>
      <c r="D16" s="32">
        <v>-1975</v>
      </c>
      <c r="E16" s="4">
        <v>98.75</v>
      </c>
      <c r="F16" s="32">
        <v>0</v>
      </c>
    </row>
    <row r="17" spans="1:6" x14ac:dyDescent="0.25">
      <c r="A17" s="3" t="s">
        <v>26</v>
      </c>
      <c r="B17" s="32">
        <v>30</v>
      </c>
      <c r="C17" s="4">
        <v>33.33</v>
      </c>
      <c r="D17" s="32">
        <v>-999.9</v>
      </c>
      <c r="E17" s="4">
        <v>33.33</v>
      </c>
      <c r="F17" s="32">
        <v>0</v>
      </c>
    </row>
    <row r="18" spans="1:6" x14ac:dyDescent="0.25">
      <c r="A18" s="3" t="s">
        <v>40</v>
      </c>
      <c r="B18" s="32">
        <v>10</v>
      </c>
      <c r="C18" s="4">
        <v>74</v>
      </c>
      <c r="D18" s="32">
        <v>-740</v>
      </c>
      <c r="E18" s="4">
        <v>74</v>
      </c>
      <c r="F18" s="32">
        <v>0</v>
      </c>
    </row>
    <row r="19" spans="1:6" x14ac:dyDescent="0.25">
      <c r="A19" s="3" t="s">
        <v>42</v>
      </c>
      <c r="B19" s="32">
        <v>10</v>
      </c>
      <c r="C19" s="4">
        <v>89.69</v>
      </c>
      <c r="D19" s="32">
        <v>-896.9</v>
      </c>
      <c r="E19" s="4">
        <v>89.69</v>
      </c>
      <c r="F19" s="32">
        <v>0</v>
      </c>
    </row>
    <row r="20" spans="1:6" x14ac:dyDescent="0.25">
      <c r="A20" s="3" t="s">
        <v>21</v>
      </c>
      <c r="B20" s="32">
        <v>10</v>
      </c>
      <c r="C20" s="4">
        <v>100</v>
      </c>
      <c r="D20" s="32">
        <v>-1000</v>
      </c>
      <c r="E20" s="4">
        <v>100</v>
      </c>
      <c r="F20" s="32">
        <v>0</v>
      </c>
    </row>
    <row r="21" spans="1:6" x14ac:dyDescent="0.25">
      <c r="A21" s="3" t="s">
        <v>25</v>
      </c>
      <c r="B21" s="32">
        <v>50</v>
      </c>
      <c r="C21" s="4">
        <v>80.97</v>
      </c>
      <c r="D21" s="32">
        <v>-3790.2</v>
      </c>
      <c r="E21" s="4">
        <v>75.804000000000002</v>
      </c>
      <c r="F21" s="32">
        <v>0</v>
      </c>
    </row>
    <row r="22" spans="1:6" x14ac:dyDescent="0.25">
      <c r="A22" s="3" t="s">
        <v>34</v>
      </c>
      <c r="B22" s="32">
        <v>90</v>
      </c>
      <c r="C22" s="4">
        <v>10.84</v>
      </c>
      <c r="D22" s="32">
        <v>-975.6</v>
      </c>
      <c r="E22" s="4">
        <v>10.84</v>
      </c>
      <c r="F22" s="32">
        <v>0</v>
      </c>
    </row>
    <row r="23" spans="1:6" x14ac:dyDescent="0.25">
      <c r="A23" s="3" t="s">
        <v>19</v>
      </c>
      <c r="B23" s="32">
        <v>100</v>
      </c>
      <c r="C23" s="4">
        <v>10.050000000000001</v>
      </c>
      <c r="D23" s="32">
        <v>-1005.0000000000001</v>
      </c>
      <c r="E23" s="4">
        <v>10.050000000000001</v>
      </c>
      <c r="F23" s="32">
        <v>0</v>
      </c>
    </row>
    <row r="24" spans="1:6" x14ac:dyDescent="0.25">
      <c r="A24" s="3" t="s">
        <v>31</v>
      </c>
      <c r="B24" s="32">
        <v>20</v>
      </c>
      <c r="C24" s="4">
        <v>91.76</v>
      </c>
      <c r="D24" s="32">
        <v>-1762.6</v>
      </c>
      <c r="E24" s="4">
        <v>88.13</v>
      </c>
      <c r="F24" s="32">
        <v>0</v>
      </c>
    </row>
    <row r="25" spans="1:6" x14ac:dyDescent="0.25">
      <c r="A25" s="3" t="s">
        <v>55</v>
      </c>
      <c r="B25" s="32">
        <v>20</v>
      </c>
      <c r="C25" s="4">
        <v>44.5</v>
      </c>
      <c r="D25" s="32">
        <v>-890</v>
      </c>
      <c r="E25" s="4">
        <v>44.5</v>
      </c>
      <c r="F25" s="32">
        <v>0</v>
      </c>
    </row>
    <row r="26" spans="1:6" x14ac:dyDescent="0.25">
      <c r="A26" s="3" t="s">
        <v>52</v>
      </c>
      <c r="B26" s="32">
        <v>120</v>
      </c>
      <c r="C26" s="4">
        <v>8.36</v>
      </c>
      <c r="D26" s="32">
        <v>-1003.2</v>
      </c>
      <c r="E26" s="4">
        <v>8.3600000000000012</v>
      </c>
      <c r="F26" s="32">
        <v>0</v>
      </c>
    </row>
    <row r="27" spans="1:6" x14ac:dyDescent="0.25">
      <c r="A27" s="3" t="s">
        <v>68</v>
      </c>
      <c r="B27" s="32">
        <v>20</v>
      </c>
      <c r="C27" s="4">
        <v>41.15</v>
      </c>
      <c r="D27" s="32">
        <v>-823</v>
      </c>
      <c r="E27" s="4">
        <v>41.15</v>
      </c>
      <c r="F27" s="32">
        <v>0</v>
      </c>
    </row>
    <row r="28" spans="1:6" x14ac:dyDescent="0.25">
      <c r="A28" s="3" t="s">
        <v>35</v>
      </c>
      <c r="B28" s="32">
        <v>40</v>
      </c>
      <c r="C28" s="4">
        <v>96.75</v>
      </c>
      <c r="D28" s="32">
        <v>-3781.5</v>
      </c>
      <c r="E28" s="4">
        <v>94.537499999999994</v>
      </c>
      <c r="F28" s="32">
        <v>0</v>
      </c>
    </row>
    <row r="29" spans="1:6" x14ac:dyDescent="0.25">
      <c r="A29" s="3" t="s">
        <v>29</v>
      </c>
      <c r="B29" s="32">
        <v>180</v>
      </c>
      <c r="C29" s="4">
        <v>29.04</v>
      </c>
      <c r="D29" s="32">
        <v>-4752.7999999999993</v>
      </c>
      <c r="E29" s="4">
        <v>26.40444444444444</v>
      </c>
      <c r="F29" s="32">
        <v>0</v>
      </c>
    </row>
    <row r="30" spans="1:6" x14ac:dyDescent="0.25">
      <c r="A30" s="3" t="s">
        <v>22</v>
      </c>
      <c r="B30" s="32">
        <v>90</v>
      </c>
      <c r="C30" s="4">
        <v>25.79</v>
      </c>
      <c r="D30" s="32">
        <v>-2000.6</v>
      </c>
      <c r="E30" s="4">
        <v>22.228888888888889</v>
      </c>
      <c r="F30" s="32">
        <v>0</v>
      </c>
    </row>
    <row r="31" spans="1:6" x14ac:dyDescent="0.25">
      <c r="A31" s="3" t="s">
        <v>11</v>
      </c>
      <c r="B31" s="32">
        <v>90</v>
      </c>
      <c r="C31" s="4">
        <v>23.26</v>
      </c>
      <c r="D31" s="32">
        <v>-1980.4</v>
      </c>
      <c r="E31" s="4">
        <v>22.004444444444445</v>
      </c>
      <c r="F31" s="32">
        <v>0</v>
      </c>
    </row>
    <row r="32" spans="1:6" x14ac:dyDescent="0.25">
      <c r="A32" s="3" t="s">
        <v>18</v>
      </c>
      <c r="B32" s="32">
        <v>1150</v>
      </c>
      <c r="C32" s="4">
        <v>6.11</v>
      </c>
      <c r="D32" s="32">
        <v>-5909.4539999999997</v>
      </c>
      <c r="E32" s="4">
        <v>5.1386556521739131</v>
      </c>
      <c r="F32" s="32">
        <v>0</v>
      </c>
    </row>
    <row r="33" spans="1:6" x14ac:dyDescent="0.25">
      <c r="A33" s="3" t="s">
        <v>12</v>
      </c>
      <c r="B33" s="32">
        <v>150</v>
      </c>
      <c r="C33" s="4">
        <v>21</v>
      </c>
      <c r="D33" s="32">
        <v>-2972</v>
      </c>
      <c r="E33" s="4">
        <v>19.813333333333333</v>
      </c>
      <c r="F33" s="32">
        <v>0</v>
      </c>
    </row>
    <row r="34" spans="1:6" x14ac:dyDescent="0.25">
      <c r="A34" s="3" t="s">
        <v>54</v>
      </c>
      <c r="B34" s="32">
        <v>20</v>
      </c>
      <c r="C34" s="4">
        <v>46</v>
      </c>
      <c r="D34" s="32">
        <v>-920</v>
      </c>
      <c r="E34" s="4">
        <v>46</v>
      </c>
      <c r="F34" s="32">
        <v>0</v>
      </c>
    </row>
    <row r="35" spans="1:6" x14ac:dyDescent="0.25">
      <c r="A35" s="3" t="s">
        <v>24</v>
      </c>
      <c r="B35" s="32">
        <v>10</v>
      </c>
      <c r="C35" s="4">
        <v>92</v>
      </c>
      <c r="D35" s="32">
        <v>-920</v>
      </c>
      <c r="E35" s="4">
        <v>92</v>
      </c>
      <c r="F35" s="32">
        <v>0</v>
      </c>
    </row>
    <row r="36" spans="1:6" x14ac:dyDescent="0.25">
      <c r="A36" s="3" t="s">
        <v>8</v>
      </c>
      <c r="B36" s="32">
        <v>270</v>
      </c>
      <c r="C36" s="4">
        <v>3.47</v>
      </c>
      <c r="D36" s="32">
        <v>-936.90000000000009</v>
      </c>
      <c r="E36" s="4">
        <v>3.47</v>
      </c>
      <c r="F36" s="32">
        <v>0</v>
      </c>
    </row>
    <row r="37" spans="1:6" x14ac:dyDescent="0.25">
      <c r="A37" s="3" t="s">
        <v>45</v>
      </c>
      <c r="B37" s="32">
        <v>60</v>
      </c>
      <c r="C37" s="4">
        <v>16</v>
      </c>
      <c r="D37" s="32">
        <v>-960</v>
      </c>
      <c r="E37" s="4">
        <v>16</v>
      </c>
      <c r="F37" s="32">
        <v>0</v>
      </c>
    </row>
    <row r="38" spans="1:6" x14ac:dyDescent="0.25">
      <c r="A38" s="3" t="s">
        <v>14</v>
      </c>
      <c r="B38" s="32">
        <v>130</v>
      </c>
      <c r="C38" s="4">
        <v>7.18</v>
      </c>
      <c r="D38" s="32">
        <v>-933.39999999999975</v>
      </c>
      <c r="E38" s="4">
        <v>7.1799999999999979</v>
      </c>
      <c r="F38" s="32">
        <v>0</v>
      </c>
    </row>
    <row r="39" spans="1:6" x14ac:dyDescent="0.25">
      <c r="A39" s="3" t="s">
        <v>36</v>
      </c>
      <c r="B39" s="32">
        <v>50</v>
      </c>
      <c r="C39" s="4">
        <v>39</v>
      </c>
      <c r="D39" s="32">
        <v>-1770</v>
      </c>
      <c r="E39" s="4">
        <v>35.4</v>
      </c>
      <c r="F39" s="32">
        <v>0</v>
      </c>
    </row>
    <row r="40" spans="1:6" x14ac:dyDescent="0.25">
      <c r="A40" s="3" t="s">
        <v>67</v>
      </c>
      <c r="B40" s="32">
        <v>10</v>
      </c>
      <c r="C40" s="4">
        <v>78.34</v>
      </c>
      <c r="D40" s="32">
        <v>-783.40000000000009</v>
      </c>
      <c r="E40" s="4">
        <v>78.34</v>
      </c>
      <c r="F40" s="32">
        <v>0</v>
      </c>
    </row>
    <row r="41" spans="1:6" x14ac:dyDescent="0.25">
      <c r="A41" s="3" t="s">
        <v>20</v>
      </c>
      <c r="B41" s="32">
        <v>40</v>
      </c>
      <c r="C41" s="4">
        <v>42</v>
      </c>
      <c r="D41" s="32">
        <v>-1680</v>
      </c>
      <c r="E41" s="4">
        <v>42</v>
      </c>
      <c r="F41" s="32">
        <v>0</v>
      </c>
    </row>
    <row r="42" spans="1:6" x14ac:dyDescent="0.25">
      <c r="A42" s="3" t="s">
        <v>32</v>
      </c>
      <c r="B42" s="32">
        <v>50</v>
      </c>
      <c r="C42" s="4">
        <v>36.619999999999997</v>
      </c>
      <c r="D42" s="32">
        <v>-1732.3</v>
      </c>
      <c r="E42" s="4">
        <v>34.646000000000001</v>
      </c>
      <c r="F42" s="32">
        <v>0</v>
      </c>
    </row>
    <row r="43" spans="1:6" x14ac:dyDescent="0.25">
      <c r="A43" s="3" t="s">
        <v>53</v>
      </c>
      <c r="B43" s="32">
        <v>20</v>
      </c>
      <c r="C43" s="4">
        <v>134.49</v>
      </c>
      <c r="D43" s="32">
        <v>-2304.9</v>
      </c>
      <c r="E43" s="4">
        <v>115.245</v>
      </c>
      <c r="F43" s="32">
        <v>0</v>
      </c>
    </row>
    <row r="44" spans="1:6" x14ac:dyDescent="0.25">
      <c r="A44" s="3" t="s">
        <v>13</v>
      </c>
      <c r="B44" s="32">
        <v>20</v>
      </c>
      <c r="C44" s="4">
        <v>60.98</v>
      </c>
      <c r="D44" s="32">
        <v>-1154.8</v>
      </c>
      <c r="E44" s="4">
        <v>57.739999999999995</v>
      </c>
      <c r="F44" s="32">
        <v>0</v>
      </c>
    </row>
    <row r="45" spans="1:6" x14ac:dyDescent="0.25">
      <c r="A45" s="3" t="s">
        <v>51</v>
      </c>
      <c r="B45" s="32">
        <v>20</v>
      </c>
      <c r="C45" s="4">
        <v>132.53</v>
      </c>
      <c r="D45" s="32">
        <v>-2305.6</v>
      </c>
      <c r="E45" s="4">
        <v>115.28</v>
      </c>
      <c r="F45" s="32">
        <v>0</v>
      </c>
    </row>
    <row r="46" spans="1:6" x14ac:dyDescent="0.25">
      <c r="A46" s="3" t="s">
        <v>64</v>
      </c>
      <c r="B46" s="32">
        <v>20</v>
      </c>
      <c r="C46" s="4">
        <v>42.14</v>
      </c>
      <c r="D46" s="32">
        <v>-842.8</v>
      </c>
      <c r="E46" s="4">
        <v>42.14</v>
      </c>
      <c r="F46" s="32">
        <v>0</v>
      </c>
    </row>
    <row r="47" spans="1:6" x14ac:dyDescent="0.25">
      <c r="A47" s="3" t="s">
        <v>23</v>
      </c>
      <c r="B47" s="32">
        <v>280</v>
      </c>
      <c r="C47" s="4">
        <v>10.805</v>
      </c>
      <c r="D47" s="32">
        <v>-2925.75</v>
      </c>
      <c r="E47" s="4">
        <v>10.449107142857143</v>
      </c>
      <c r="F47" s="32">
        <v>0</v>
      </c>
    </row>
    <row r="48" spans="1:6" x14ac:dyDescent="0.25">
      <c r="A48" s="3" t="s">
        <v>27</v>
      </c>
      <c r="B48" s="32">
        <v>150</v>
      </c>
      <c r="C48" s="4">
        <v>20</v>
      </c>
      <c r="D48" s="32">
        <v>-2850</v>
      </c>
      <c r="E48" s="4">
        <v>19</v>
      </c>
      <c r="F48" s="32">
        <v>0</v>
      </c>
    </row>
    <row r="49" spans="1:6" x14ac:dyDescent="0.25">
      <c r="A49" s="3" t="s">
        <v>37</v>
      </c>
      <c r="B49" s="32">
        <v>40</v>
      </c>
      <c r="C49" s="4">
        <v>22.52</v>
      </c>
      <c r="D49" s="32">
        <v>-900.8</v>
      </c>
      <c r="E49" s="4">
        <v>22.52</v>
      </c>
      <c r="F49" s="32">
        <v>0</v>
      </c>
    </row>
    <row r="50" spans="1:6" x14ac:dyDescent="0.25">
      <c r="A50" s="3" t="s">
        <v>57</v>
      </c>
      <c r="B50" s="32">
        <v>60</v>
      </c>
      <c r="C50" s="4">
        <v>11.8</v>
      </c>
      <c r="D50" s="32">
        <v>-708</v>
      </c>
      <c r="E50" s="4">
        <v>11.8</v>
      </c>
      <c r="F50" s="32">
        <v>0</v>
      </c>
    </row>
    <row r="51" spans="1:6" x14ac:dyDescent="0.25">
      <c r="A51" s="3" t="s">
        <v>9</v>
      </c>
      <c r="B51" s="32">
        <v>60</v>
      </c>
      <c r="C51" s="4">
        <v>17</v>
      </c>
      <c r="D51" s="32">
        <v>-1020</v>
      </c>
      <c r="E51" s="4">
        <v>17</v>
      </c>
      <c r="F51" s="32">
        <v>0</v>
      </c>
    </row>
    <row r="52" spans="1:6" x14ac:dyDescent="0.25">
      <c r="A52" s="3" t="s">
        <v>59</v>
      </c>
      <c r="B52" s="32">
        <v>20</v>
      </c>
      <c r="C52" s="4">
        <v>35.5</v>
      </c>
      <c r="D52" s="32">
        <v>-710</v>
      </c>
      <c r="E52" s="4">
        <v>35.5</v>
      </c>
      <c r="F52" s="32">
        <v>0</v>
      </c>
    </row>
    <row r="53" spans="1:6" x14ac:dyDescent="0.25">
      <c r="A53" s="3" t="s">
        <v>44</v>
      </c>
      <c r="B53" s="32">
        <v>20</v>
      </c>
      <c r="C53" s="4">
        <v>39.99</v>
      </c>
      <c r="D53" s="32">
        <v>-799.80000000000007</v>
      </c>
      <c r="E53" s="4">
        <v>39.99</v>
      </c>
      <c r="F53" s="32">
        <v>0</v>
      </c>
    </row>
    <row r="54" spans="1:6" x14ac:dyDescent="0.25">
      <c r="A54" s="3" t="s">
        <v>41</v>
      </c>
      <c r="B54" s="32">
        <v>40</v>
      </c>
      <c r="C54" s="4">
        <v>41.42</v>
      </c>
      <c r="D54" s="32">
        <v>-1538.6</v>
      </c>
      <c r="E54" s="4">
        <v>38.464999999999996</v>
      </c>
      <c r="F54" s="32">
        <v>0</v>
      </c>
    </row>
    <row r="55" spans="1:6" x14ac:dyDescent="0.25">
      <c r="A55" s="3" t="s">
        <v>30</v>
      </c>
      <c r="B55" s="32">
        <v>350</v>
      </c>
      <c r="C55" s="4">
        <v>21.1</v>
      </c>
      <c r="D55" s="32">
        <v>-6074.4</v>
      </c>
      <c r="E55" s="4">
        <v>17.355428571428572</v>
      </c>
      <c r="F55" s="32">
        <v>0</v>
      </c>
    </row>
    <row r="56" spans="1:6" x14ac:dyDescent="0.25">
      <c r="A56" s="3" t="s">
        <v>63</v>
      </c>
      <c r="B56" s="32">
        <v>10</v>
      </c>
      <c r="C56" s="4">
        <v>95.03</v>
      </c>
      <c r="D56" s="32">
        <v>-950.3</v>
      </c>
      <c r="E56" s="4">
        <v>95.03</v>
      </c>
      <c r="F56" s="32">
        <v>0</v>
      </c>
    </row>
    <row r="57" spans="1:6" x14ac:dyDescent="0.25">
      <c r="A57" s="3" t="s">
        <v>58</v>
      </c>
      <c r="B57" s="32">
        <v>30</v>
      </c>
      <c r="C57" s="4">
        <v>66.14</v>
      </c>
      <c r="D57" s="32">
        <v>-1956.2000000000003</v>
      </c>
      <c r="E57" s="4">
        <v>65.206666666666678</v>
      </c>
      <c r="F57" s="32">
        <v>0</v>
      </c>
    </row>
    <row r="58" spans="1:6" x14ac:dyDescent="0.25">
      <c r="A58" s="3" t="s">
        <v>61</v>
      </c>
      <c r="B58" s="32">
        <v>140</v>
      </c>
      <c r="C58" s="4">
        <v>6.85</v>
      </c>
      <c r="D58" s="32">
        <v>-959</v>
      </c>
      <c r="E58" s="4">
        <v>6.85</v>
      </c>
      <c r="F58" s="32">
        <v>0</v>
      </c>
    </row>
    <row r="59" spans="1:6" x14ac:dyDescent="0.25">
      <c r="A59" s="3" t="s">
        <v>33</v>
      </c>
      <c r="B59" s="32">
        <v>10</v>
      </c>
      <c r="C59" s="4">
        <v>58</v>
      </c>
      <c r="D59" s="32">
        <v>-580</v>
      </c>
      <c r="E59" s="4">
        <v>58</v>
      </c>
      <c r="F59" s="32">
        <v>0</v>
      </c>
    </row>
    <row r="60" spans="1:6" x14ac:dyDescent="0.25">
      <c r="A60" s="3" t="s">
        <v>43</v>
      </c>
      <c r="B60" s="32">
        <v>10</v>
      </c>
      <c r="C60" s="4">
        <v>59</v>
      </c>
      <c r="D60" s="32">
        <v>-590</v>
      </c>
      <c r="E60" s="4">
        <v>59</v>
      </c>
      <c r="F60" s="32">
        <v>0</v>
      </c>
    </row>
    <row r="61" spans="1:6" x14ac:dyDescent="0.25">
      <c r="A61" s="3" t="s">
        <v>65</v>
      </c>
      <c r="B61" s="32">
        <v>60</v>
      </c>
      <c r="C61" s="4">
        <v>33.520000000000003</v>
      </c>
      <c r="D61" s="32">
        <v>-1973.1000000000001</v>
      </c>
      <c r="E61" s="4">
        <v>32.885000000000005</v>
      </c>
      <c r="F61" s="32">
        <v>0</v>
      </c>
    </row>
    <row r="62" spans="1:6" x14ac:dyDescent="0.25">
      <c r="A62" s="3" t="s">
        <v>49</v>
      </c>
      <c r="B62" s="32">
        <v>190</v>
      </c>
      <c r="C62" s="4">
        <v>15.49</v>
      </c>
      <c r="D62" s="32">
        <v>-2805.4</v>
      </c>
      <c r="E62" s="4">
        <v>14.765263157894738</v>
      </c>
      <c r="F62" s="32">
        <v>0</v>
      </c>
    </row>
    <row r="63" spans="1:6" x14ac:dyDescent="0.25">
      <c r="A63" s="3" t="s">
        <v>47</v>
      </c>
      <c r="B63" s="32">
        <v>1070</v>
      </c>
      <c r="C63" s="4">
        <v>2.9083999999999999</v>
      </c>
      <c r="D63" s="32">
        <v>-2979.44</v>
      </c>
      <c r="E63" s="4">
        <v>2.7845233644859815</v>
      </c>
      <c r="F63" s="32">
        <v>0</v>
      </c>
    </row>
    <row r="64" spans="1:6" x14ac:dyDescent="0.25">
      <c r="A64" s="3" t="s">
        <v>6</v>
      </c>
      <c r="B64" s="32">
        <v>260</v>
      </c>
      <c r="C64" s="4">
        <v>15</v>
      </c>
      <c r="D64" s="32">
        <v>-2798.5</v>
      </c>
      <c r="E64" s="4">
        <v>10.763461538461538</v>
      </c>
      <c r="F64" s="32">
        <v>0</v>
      </c>
    </row>
    <row r="65" spans="1:6" x14ac:dyDescent="0.25">
      <c r="A65" s="3" t="s">
        <v>16</v>
      </c>
      <c r="B65" s="32">
        <v>200</v>
      </c>
      <c r="C65" s="4">
        <v>4</v>
      </c>
      <c r="D65" s="32">
        <v>-800</v>
      </c>
      <c r="E65" s="4">
        <v>4</v>
      </c>
      <c r="F65" s="32">
        <v>0</v>
      </c>
    </row>
    <row r="66" spans="1:6" x14ac:dyDescent="0.25">
      <c r="A66" s="3" t="s">
        <v>5</v>
      </c>
      <c r="B66" s="32">
        <v>30</v>
      </c>
      <c r="C66" s="4">
        <v>6.3</v>
      </c>
      <c r="D66" s="32">
        <v>-225</v>
      </c>
      <c r="E66" s="4">
        <v>7.5</v>
      </c>
      <c r="F66" s="32">
        <v>0</v>
      </c>
    </row>
    <row r="67" spans="1:6" x14ac:dyDescent="0.25">
      <c r="A67" s="3" t="s">
        <v>62</v>
      </c>
      <c r="B67" s="32">
        <v>40</v>
      </c>
      <c r="C67" s="4">
        <v>44.02</v>
      </c>
      <c r="D67" s="32">
        <v>-1744.2</v>
      </c>
      <c r="E67" s="4">
        <v>43.605000000000004</v>
      </c>
      <c r="F67" s="32">
        <v>0</v>
      </c>
    </row>
    <row r="68" spans="1:6" x14ac:dyDescent="0.25">
      <c r="A68" s="3" t="s">
        <v>50</v>
      </c>
      <c r="B68" s="32">
        <v>30</v>
      </c>
      <c r="C68" s="4">
        <v>80.989999999999995</v>
      </c>
      <c r="D68" s="32">
        <v>-2381.1999999999998</v>
      </c>
      <c r="E68" s="4">
        <v>79.373333333333321</v>
      </c>
      <c r="F68" s="32">
        <v>0</v>
      </c>
    </row>
    <row r="69" spans="1:6" x14ac:dyDescent="0.25">
      <c r="A69" s="3" t="s">
        <v>105</v>
      </c>
      <c r="B69" s="32">
        <v>0</v>
      </c>
      <c r="C69" s="4">
        <v>528.20000000000005</v>
      </c>
      <c r="D69" s="32">
        <v>1002</v>
      </c>
      <c r="E69" s="4">
        <v>0</v>
      </c>
      <c r="F69" s="32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E810-0FC5-4206-89A5-068B07FEFCC9}">
  <dimension ref="A1:M70"/>
  <sheetViews>
    <sheetView tabSelected="1" zoomScale="120" zoomScaleNormal="120" workbookViewId="0">
      <pane ySplit="4" topLeftCell="A5" activePane="bottomLeft" state="frozen"/>
      <selection pane="bottomLeft" activeCell="R3" sqref="R3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12.28515625" bestFit="1" customWidth="1"/>
    <col min="4" max="4" width="11.42578125" bestFit="1" customWidth="1"/>
    <col min="5" max="5" width="15.42578125" bestFit="1" customWidth="1"/>
    <col min="6" max="6" width="12" bestFit="1" customWidth="1"/>
    <col min="7" max="7" width="14.85546875" customWidth="1"/>
    <col min="8" max="8" width="9.7109375" bestFit="1" customWidth="1"/>
    <col min="9" max="9" width="7.42578125" customWidth="1"/>
    <col min="10" max="10" width="14.42578125" bestFit="1" customWidth="1"/>
    <col min="11" max="11" width="9.85546875" bestFit="1" customWidth="1"/>
    <col min="12" max="12" width="17.28515625" bestFit="1" customWidth="1"/>
    <col min="13" max="13" width="8.7109375" bestFit="1" customWidth="1"/>
    <col min="14" max="14" width="3.28515625" bestFit="1" customWidth="1"/>
    <col min="15" max="15" width="9.28515625" bestFit="1" customWidth="1"/>
    <col min="16" max="16" width="6.5703125" bestFit="1" customWidth="1"/>
    <col min="17" max="17" width="3.28515625" bestFit="1" customWidth="1"/>
    <col min="18" max="18" width="12" bestFit="1" customWidth="1"/>
    <col min="19" max="19" width="6.5703125" bestFit="1" customWidth="1"/>
    <col min="20" max="21" width="6.42578125" bestFit="1" customWidth="1"/>
    <col min="22" max="22" width="3.28515625" bestFit="1" customWidth="1"/>
    <col min="23" max="23" width="6.42578125" bestFit="1" customWidth="1"/>
    <col min="24" max="24" width="3.28515625" bestFit="1" customWidth="1"/>
    <col min="25" max="25" width="6.42578125" bestFit="1" customWidth="1"/>
    <col min="26" max="26" width="5.42578125" bestFit="1" customWidth="1"/>
    <col min="27" max="27" width="3.28515625" bestFit="1" customWidth="1"/>
    <col min="28" max="30" width="6.42578125" bestFit="1" customWidth="1"/>
    <col min="31" max="31" width="3.28515625" bestFit="1" customWidth="1"/>
    <col min="32" max="32" width="6.42578125" bestFit="1" customWidth="1"/>
    <col min="33" max="34" width="3.28515625" bestFit="1" customWidth="1"/>
    <col min="35" max="36" width="5.42578125" bestFit="1" customWidth="1"/>
    <col min="37" max="37" width="3.28515625" bestFit="1" customWidth="1"/>
    <col min="38" max="39" width="6.42578125" bestFit="1" customWidth="1"/>
    <col min="40" max="40" width="4.28515625" bestFit="1" customWidth="1"/>
    <col min="41" max="41" width="6.42578125" bestFit="1" customWidth="1"/>
    <col min="42" max="42" width="5.42578125" bestFit="1" customWidth="1"/>
    <col min="43" max="44" width="6.42578125" bestFit="1" customWidth="1"/>
    <col min="45" max="45" width="5.42578125" bestFit="1" customWidth="1"/>
    <col min="46" max="46" width="6.42578125" bestFit="1" customWidth="1"/>
    <col min="47" max="47" width="5.42578125" bestFit="1" customWidth="1"/>
    <col min="48" max="48" width="4.28515625" bestFit="1" customWidth="1"/>
    <col min="49" max="49" width="6.42578125" bestFit="1" customWidth="1"/>
    <col min="50" max="50" width="5.42578125" bestFit="1" customWidth="1"/>
    <col min="51" max="51" width="6.42578125" bestFit="1" customWidth="1"/>
    <col min="52" max="52" width="3.28515625" bestFit="1" customWidth="1"/>
    <col min="53" max="54" width="6.42578125" bestFit="1" customWidth="1"/>
    <col min="55" max="55" width="5.42578125" bestFit="1" customWidth="1"/>
    <col min="56" max="56" width="6.42578125" bestFit="1" customWidth="1"/>
    <col min="57" max="57" width="3.28515625" bestFit="1" customWidth="1"/>
    <col min="58" max="60" width="6.42578125" bestFit="1" customWidth="1"/>
    <col min="61" max="61" width="4.28515625" bestFit="1" customWidth="1"/>
    <col min="62" max="62" width="6.42578125" bestFit="1" customWidth="1"/>
    <col min="63" max="63" width="5.42578125" bestFit="1" customWidth="1"/>
    <col min="64" max="66" width="6.42578125" bestFit="1" customWidth="1"/>
    <col min="67" max="67" width="4.28515625" bestFit="1" customWidth="1"/>
    <col min="68" max="70" width="6.42578125" bestFit="1" customWidth="1"/>
    <col min="71" max="72" width="5.42578125" bestFit="1" customWidth="1"/>
    <col min="73" max="73" width="4.28515625" bestFit="1" customWidth="1"/>
    <col min="74" max="74" width="6.42578125" bestFit="1" customWidth="1"/>
    <col min="75" max="75" width="4.28515625" bestFit="1" customWidth="1"/>
    <col min="76" max="80" width="6.42578125" bestFit="1" customWidth="1"/>
    <col min="81" max="81" width="5.42578125" bestFit="1" customWidth="1"/>
    <col min="82" max="82" width="6.42578125" bestFit="1" customWidth="1"/>
    <col min="83" max="83" width="7.5703125" bestFit="1" customWidth="1"/>
    <col min="84" max="85" width="5.42578125" bestFit="1" customWidth="1"/>
    <col min="86" max="89" width="6.42578125" bestFit="1" customWidth="1"/>
    <col min="90" max="91" width="3.28515625" bestFit="1" customWidth="1"/>
    <col min="92" max="92" width="6.42578125" bestFit="1" customWidth="1"/>
    <col min="93" max="93" width="7.5703125" bestFit="1" customWidth="1"/>
    <col min="94" max="95" width="6.42578125" bestFit="1" customWidth="1"/>
    <col min="96" max="97" width="5.42578125" bestFit="1" customWidth="1"/>
    <col min="98" max="98" width="7.5703125" bestFit="1" customWidth="1"/>
    <col min="99" max="99" width="4.28515625" bestFit="1" customWidth="1"/>
    <col min="100" max="100" width="7.5703125" bestFit="1" customWidth="1"/>
    <col min="101" max="101" width="9.7109375" bestFit="1" customWidth="1"/>
    <col min="102" max="102" width="7.5703125" bestFit="1" customWidth="1"/>
    <col min="103" max="103" width="6.42578125" bestFit="1" customWidth="1"/>
    <col min="104" max="105" width="7.5703125" bestFit="1" customWidth="1"/>
    <col min="106" max="106" width="8.5703125" bestFit="1" customWidth="1"/>
    <col min="107" max="107" width="4.28515625" bestFit="1" customWidth="1"/>
    <col min="108" max="109" width="7.5703125" bestFit="1" customWidth="1"/>
    <col min="110" max="110" width="6.42578125" bestFit="1" customWidth="1"/>
    <col min="111" max="111" width="4.28515625" bestFit="1" customWidth="1"/>
    <col min="112" max="113" width="6.42578125" bestFit="1" customWidth="1"/>
    <col min="114" max="114" width="7.5703125" bestFit="1" customWidth="1"/>
    <col min="115" max="115" width="4.28515625" bestFit="1" customWidth="1"/>
    <col min="116" max="117" width="7.5703125" bestFit="1" customWidth="1"/>
    <col min="118" max="119" width="6.42578125" bestFit="1" customWidth="1"/>
    <col min="120" max="121" width="7.5703125" bestFit="1" customWidth="1"/>
    <col min="122" max="122" width="11.85546875" bestFit="1" customWidth="1"/>
  </cols>
  <sheetData>
    <row r="1" spans="1:13" ht="15.75" thickBot="1" x14ac:dyDescent="0.3">
      <c r="A1" s="29" t="s">
        <v>88</v>
      </c>
      <c r="B1" s="30"/>
      <c r="C1" s="15">
        <f>COUNTA(undervalued_stocks[Symbol])</f>
        <v>66</v>
      </c>
      <c r="E1" s="11" t="s">
        <v>70</v>
      </c>
      <c r="F1" s="17">
        <f>ROUND(-SUMIF(undervalued_stocks[Total C&amp;G], "&lt;0"),2)</f>
        <v>110201.82</v>
      </c>
      <c r="G1" s="20"/>
      <c r="H1" s="20"/>
      <c r="J1" s="12" t="s">
        <v>79</v>
      </c>
      <c r="K1" s="13">
        <f>SUM(undervalued_stocks[Open P&amp;L])</f>
        <v>7745.6072499999982</v>
      </c>
      <c r="L1" s="11" t="s">
        <v>80</v>
      </c>
      <c r="M1" s="13">
        <f>SUM(undervalued_stocks[Realized P&amp;L])</f>
        <v>1437.232</v>
      </c>
    </row>
    <row r="2" spans="1:13" ht="15.75" thickBot="1" x14ac:dyDescent="0.3">
      <c r="A2" s="27" t="s">
        <v>89</v>
      </c>
      <c r="B2" s="28"/>
      <c r="C2" s="16">
        <f>C1-COUNT(undervalued_stocks[Realized P&amp;L])</f>
        <v>64</v>
      </c>
      <c r="E2" s="11" t="s">
        <v>91</v>
      </c>
      <c r="F2" s="19">
        <f>SUMPRODUCT(undervalued_stocks[Total Qty],undervalued_stocks[Current Price])</f>
        <v>117947.43124999999</v>
      </c>
      <c r="J2" s="10" t="s">
        <v>81</v>
      </c>
      <c r="K2" s="14">
        <f>$K$1/$F$1</f>
        <v>7.0285656353043874E-2</v>
      </c>
      <c r="L2" s="10" t="s">
        <v>82</v>
      </c>
      <c r="M2" s="14">
        <f>$M$1/$F$1</f>
        <v>1.3041817276701962E-2</v>
      </c>
    </row>
    <row r="4" spans="1:13" s="8" customFormat="1" x14ac:dyDescent="0.25">
      <c r="A4" t="s">
        <v>2</v>
      </c>
      <c r="B4" t="s">
        <v>85</v>
      </c>
      <c r="C4" t="s">
        <v>86</v>
      </c>
      <c r="D4" t="s">
        <v>71</v>
      </c>
      <c r="E4" t="s">
        <v>73</v>
      </c>
      <c r="F4" t="s">
        <v>74</v>
      </c>
      <c r="G4" t="s">
        <v>87</v>
      </c>
      <c r="H4" t="s">
        <v>90</v>
      </c>
    </row>
    <row r="5" spans="1:13" x14ac:dyDescent="0.25">
      <c r="A5" s="31" t="s">
        <v>39</v>
      </c>
      <c r="B5">
        <v>1660</v>
      </c>
      <c r="C5" s="2">
        <v>-3982.28</v>
      </c>
      <c r="D5" s="2">
        <f>IFERROR(-undervalued_stocks[[#This Row],[Total C&amp;G]]/undervalued_stocks[[#This Row],[Total Qty]],"")</f>
        <v>2.398963855421687</v>
      </c>
      <c r="E5">
        <f>RTD("tos.rtd", , "LAST", undervalued_stocks[[#This Row],[Symbol]])</f>
        <v>2.5099999999999998</v>
      </c>
      <c r="F5" s="2">
        <f>IFERROR((undervalued_stocks[[#This Row],[Current Price]]-undervalued_stocks[[#This Row],[Avg Price]])*undervalued_stocks[[#This Row],[Total Qty]],"")</f>
        <v>184.31999999999923</v>
      </c>
      <c r="G5" s="2" t="str">
        <f>IF(undervalued_stocks[[#This Row],[Open P&amp;L]] = "", undervalued_stocks[[#This Row],[Total C&amp;G]], "")</f>
        <v/>
      </c>
      <c r="H5" s="18">
        <f>IFERROR((undervalued_stocks[[#This Row],[Total Qty]]*undervalued_stocks[[#This Row],[Avg Price]])/$F$2,0)</f>
        <v>3.3763177017049284E-2</v>
      </c>
    </row>
    <row r="6" spans="1:13" x14ac:dyDescent="0.25">
      <c r="A6" s="31" t="s">
        <v>60</v>
      </c>
      <c r="B6">
        <v>10</v>
      </c>
      <c r="C6" s="2">
        <v>-800</v>
      </c>
      <c r="D6" s="2">
        <f>IFERROR(-undervalued_stocks[[#This Row],[Total C&amp;G]]/undervalued_stocks[[#This Row],[Total Qty]],"")</f>
        <v>80</v>
      </c>
      <c r="E6">
        <f>RTD("tos.rtd", , "LAST", undervalued_stocks[[#This Row],[Symbol]])</f>
        <v>78.77</v>
      </c>
      <c r="F6" s="2">
        <f>IFERROR((undervalued_stocks[[#This Row],[Current Price]]-undervalued_stocks[[#This Row],[Avg Price]])*undervalued_stocks[[#This Row],[Total Qty]],"")</f>
        <v>-12.30000000000004</v>
      </c>
      <c r="G6" s="2" t="str">
        <f>IF(undervalued_stocks[[#This Row],[Open P&amp;L]] = "", undervalued_stocks[[#This Row],[Total C&amp;G]], "")</f>
        <v/>
      </c>
      <c r="H6" s="18">
        <f>IFERROR((undervalued_stocks[[#This Row],[Total Qty]]*undervalued_stocks[[#This Row],[Avg Price]])/$F$2,0)</f>
        <v>6.7826826877164402E-3</v>
      </c>
    </row>
    <row r="7" spans="1:13" x14ac:dyDescent="0.25">
      <c r="A7" s="31" t="s">
        <v>69</v>
      </c>
      <c r="B7">
        <v>10</v>
      </c>
      <c r="C7" s="2">
        <v>-2491.3000000000002</v>
      </c>
      <c r="D7" s="2">
        <f>IFERROR(-undervalued_stocks[[#This Row],[Total C&amp;G]]/undervalued_stocks[[#This Row],[Total Qty]],"")</f>
        <v>249.13000000000002</v>
      </c>
      <c r="E7">
        <f>RTD("tos.rtd", , "LAST", undervalued_stocks[[#This Row],[Symbol]])</f>
        <v>248.18</v>
      </c>
      <c r="F7" s="2">
        <f>IFERROR((undervalued_stocks[[#This Row],[Current Price]]-undervalued_stocks[[#This Row],[Avg Price]])*undervalued_stocks[[#This Row],[Total Qty]],"")</f>
        <v>-9.5000000000001705</v>
      </c>
      <c r="G7" s="2" t="str">
        <f>IF(undervalued_stocks[[#This Row],[Open P&amp;L]] = "", undervalued_stocks[[#This Row],[Total C&amp;G]], "")</f>
        <v/>
      </c>
      <c r="H7" s="18">
        <f>IFERROR((undervalued_stocks[[#This Row],[Total Qty]]*undervalued_stocks[[#This Row],[Avg Price]])/$F$2,0)</f>
        <v>2.1122121724884962E-2</v>
      </c>
    </row>
    <row r="8" spans="1:13" x14ac:dyDescent="0.25">
      <c r="A8" s="31" t="s">
        <v>48</v>
      </c>
      <c r="B8">
        <v>100</v>
      </c>
      <c r="C8" s="2">
        <v>-1042</v>
      </c>
      <c r="D8" s="2">
        <f>IFERROR(-undervalued_stocks[[#This Row],[Total C&amp;G]]/undervalued_stocks[[#This Row],[Total Qty]],"")</f>
        <v>10.42</v>
      </c>
      <c r="E8">
        <f>RTD("tos.rtd", , "LAST", undervalued_stocks[[#This Row],[Symbol]])</f>
        <v>19.07</v>
      </c>
      <c r="F8" s="2">
        <f>IFERROR((undervalued_stocks[[#This Row],[Current Price]]-undervalued_stocks[[#This Row],[Avg Price]])*undervalued_stocks[[#This Row],[Total Qty]],"")</f>
        <v>865</v>
      </c>
      <c r="G8" s="2" t="str">
        <f>IF(undervalued_stocks[[#This Row],[Open P&amp;L]] = "", undervalued_stocks[[#This Row],[Total C&amp;G]], "")</f>
        <v/>
      </c>
      <c r="H8" s="18">
        <f>IFERROR((undervalued_stocks[[#This Row],[Total Qty]]*undervalued_stocks[[#This Row],[Avg Price]])/$F$2,0)</f>
        <v>8.8344442007506629E-3</v>
      </c>
    </row>
    <row r="9" spans="1:13" x14ac:dyDescent="0.25">
      <c r="A9" s="31" t="s">
        <v>10</v>
      </c>
      <c r="B9">
        <v>750</v>
      </c>
      <c r="C9" s="2">
        <v>-997.5</v>
      </c>
      <c r="D9" s="2">
        <f>IFERROR(-undervalued_stocks[[#This Row],[Total C&amp;G]]/undervalued_stocks[[#This Row],[Total Qty]],"")</f>
        <v>1.33</v>
      </c>
      <c r="E9">
        <f>RTD("tos.rtd", , "LAST", undervalued_stocks[[#This Row],[Symbol]])</f>
        <v>0.96868299999999996</v>
      </c>
      <c r="F9" s="2">
        <f>IFERROR((undervalued_stocks[[#This Row],[Current Price]]-undervalued_stocks[[#This Row],[Avg Price]])*undervalued_stocks[[#This Row],[Total Qty]],"")</f>
        <v>-270.98775000000006</v>
      </c>
      <c r="G9" s="2" t="str">
        <f>IF(undervalued_stocks[[#This Row],[Open P&amp;L]] = "", undervalued_stocks[[#This Row],[Total C&amp;G]], "")</f>
        <v/>
      </c>
      <c r="H9" s="18">
        <f>IFERROR((undervalued_stocks[[#This Row],[Total Qty]]*undervalued_stocks[[#This Row],[Avg Price]])/$F$2,0)</f>
        <v>8.4571574762464363E-3</v>
      </c>
    </row>
    <row r="10" spans="1:13" x14ac:dyDescent="0.25">
      <c r="A10" s="31" t="s">
        <v>38</v>
      </c>
      <c r="B10">
        <v>20</v>
      </c>
      <c r="C10" s="2">
        <v>-779</v>
      </c>
      <c r="D10" s="2">
        <f>IFERROR(-undervalued_stocks[[#This Row],[Total C&amp;G]]/undervalued_stocks[[#This Row],[Total Qty]],"")</f>
        <v>38.950000000000003</v>
      </c>
      <c r="E10">
        <f>RTD("tos.rtd", , "LAST", undervalued_stocks[[#This Row],[Symbol]])</f>
        <v>45.034999999999997</v>
      </c>
      <c r="F10" s="2">
        <f>IFERROR((undervalued_stocks[[#This Row],[Current Price]]-undervalued_stocks[[#This Row],[Avg Price]])*undervalued_stocks[[#This Row],[Total Qty]],"")</f>
        <v>121.69999999999987</v>
      </c>
      <c r="G10" s="2" t="str">
        <f>IF(undervalued_stocks[[#This Row],[Open P&amp;L]] = "", undervalued_stocks[[#This Row],[Total C&amp;G]], "")</f>
        <v/>
      </c>
      <c r="H10" s="18">
        <f>IFERROR((undervalued_stocks[[#This Row],[Total Qty]]*undervalued_stocks[[#This Row],[Avg Price]])/$F$2,0)</f>
        <v>6.6046372671638839E-3</v>
      </c>
    </row>
    <row r="11" spans="1:13" x14ac:dyDescent="0.25">
      <c r="A11" s="31" t="s">
        <v>28</v>
      </c>
      <c r="B11">
        <v>40</v>
      </c>
      <c r="C11" s="2">
        <v>-2479.8000000000002</v>
      </c>
      <c r="D11" s="2">
        <f>IFERROR(-undervalued_stocks[[#This Row],[Total C&amp;G]]/undervalued_stocks[[#This Row],[Total Qty]],"")</f>
        <v>61.995000000000005</v>
      </c>
      <c r="E11">
        <f>RTD("tos.rtd", , "LAST", undervalued_stocks[[#This Row],[Symbol]])</f>
        <v>62.62</v>
      </c>
      <c r="F11" s="2">
        <f>IFERROR((undervalued_stocks[[#This Row],[Current Price]]-undervalued_stocks[[#This Row],[Avg Price]])*undervalued_stocks[[#This Row],[Total Qty]],"")</f>
        <v>24.999999999999716</v>
      </c>
      <c r="G11" s="2" t="str">
        <f>IF(undervalued_stocks[[#This Row],[Open P&amp;L]] = "", undervalued_stocks[[#This Row],[Total C&amp;G]], "")</f>
        <v/>
      </c>
      <c r="H11" s="18">
        <f>IFERROR((undervalued_stocks[[#This Row],[Total Qty]]*undervalued_stocks[[#This Row],[Avg Price]])/$F$2,0)</f>
        <v>2.1024620661249036E-2</v>
      </c>
    </row>
    <row r="12" spans="1:13" x14ac:dyDescent="0.25">
      <c r="A12" s="31" t="s">
        <v>56</v>
      </c>
      <c r="B12">
        <v>10</v>
      </c>
      <c r="C12" s="2">
        <v>-706.2</v>
      </c>
      <c r="D12" s="2">
        <f>IFERROR(-undervalued_stocks[[#This Row],[Total C&amp;G]]/undervalued_stocks[[#This Row],[Total Qty]],"")</f>
        <v>70.62</v>
      </c>
      <c r="E12">
        <f>RTD("tos.rtd", , "LAST", undervalued_stocks[[#This Row],[Symbol]])</f>
        <v>91.557000000000002</v>
      </c>
      <c r="F12" s="2">
        <f>IFERROR((undervalued_stocks[[#This Row],[Current Price]]-undervalued_stocks[[#This Row],[Avg Price]])*undervalued_stocks[[#This Row],[Total Qty]],"")</f>
        <v>209.36999999999998</v>
      </c>
      <c r="G12" s="2" t="str">
        <f>IF(undervalued_stocks[[#This Row],[Open P&amp;L]] = "", undervalued_stocks[[#This Row],[Total C&amp;G]], "")</f>
        <v/>
      </c>
      <c r="H12" s="18">
        <f>IFERROR((undervalued_stocks[[#This Row],[Total Qty]]*undervalued_stocks[[#This Row],[Avg Price]])/$F$2,0)</f>
        <v>5.9874131425816882E-3</v>
      </c>
    </row>
    <row r="13" spans="1:13" x14ac:dyDescent="0.25">
      <c r="A13" s="31" t="s">
        <v>15</v>
      </c>
      <c r="B13">
        <v>150</v>
      </c>
      <c r="C13" s="2">
        <v>-2503.5</v>
      </c>
      <c r="D13" s="2">
        <f>IFERROR(-undervalued_stocks[[#This Row],[Total C&amp;G]]/undervalued_stocks[[#This Row],[Total Qty]],"")</f>
        <v>16.690000000000001</v>
      </c>
      <c r="E13">
        <f>RTD("tos.rtd", , "LAST", undervalued_stocks[[#This Row],[Symbol]])</f>
        <v>25.934999999999999</v>
      </c>
      <c r="F13" s="2">
        <f>IFERROR((undervalued_stocks[[#This Row],[Current Price]]-undervalued_stocks[[#This Row],[Avg Price]])*undervalued_stocks[[#This Row],[Total Qty]],"")</f>
        <v>1386.7499999999995</v>
      </c>
      <c r="G13" s="2" t="str">
        <f>IF(undervalued_stocks[[#This Row],[Open P&amp;L]] = "", undervalued_stocks[[#This Row],[Total C&amp;G]], "")</f>
        <v/>
      </c>
      <c r="H13" s="18">
        <f>IFERROR((undervalued_stocks[[#This Row],[Total Qty]]*undervalued_stocks[[#This Row],[Avg Price]])/$F$2,0)</f>
        <v>2.1225557635872635E-2</v>
      </c>
    </row>
    <row r="14" spans="1:13" x14ac:dyDescent="0.25">
      <c r="A14" s="31" t="s">
        <v>46</v>
      </c>
      <c r="B14">
        <v>10</v>
      </c>
      <c r="C14" s="2">
        <v>-698.3</v>
      </c>
      <c r="D14" s="2">
        <f>IFERROR(-undervalued_stocks[[#This Row],[Total C&amp;G]]/undervalued_stocks[[#This Row],[Total Qty]],"")</f>
        <v>69.83</v>
      </c>
      <c r="E14">
        <f>RTD("tos.rtd", , "LAST", undervalued_stocks[[#This Row],[Symbol]])</f>
        <v>81.5</v>
      </c>
      <c r="F14" s="2">
        <f>IFERROR((undervalued_stocks[[#This Row],[Current Price]]-undervalued_stocks[[#This Row],[Avg Price]])*undervalued_stocks[[#This Row],[Total Qty]],"")</f>
        <v>116.70000000000002</v>
      </c>
      <c r="G14" s="2" t="str">
        <f>IF(undervalued_stocks[[#This Row],[Open P&amp;L]] = "", undervalued_stocks[[#This Row],[Total C&amp;G]], "")</f>
        <v/>
      </c>
      <c r="H14" s="18">
        <f>IFERROR((undervalued_stocks[[#This Row],[Total Qty]]*undervalued_stocks[[#This Row],[Avg Price]])/$F$2,0)</f>
        <v>5.920434151040487E-3</v>
      </c>
    </row>
    <row r="15" spans="1:13" x14ac:dyDescent="0.25">
      <c r="A15" s="31" t="s">
        <v>7</v>
      </c>
      <c r="B15">
        <v>0</v>
      </c>
      <c r="C15" s="2">
        <v>435.23199999999997</v>
      </c>
      <c r="D15" s="2" t="str">
        <f>IFERROR(-undervalued_stocks[[#This Row],[Total C&amp;G]]/undervalued_stocks[[#This Row],[Total Qty]],"")</f>
        <v/>
      </c>
      <c r="E15">
        <f>RTD("tos.rtd", , "LAST", undervalued_stocks[[#This Row],[Symbol]])</f>
        <v>11.13</v>
      </c>
      <c r="F15" s="2" t="str">
        <f>IFERROR((undervalued_stocks[[#This Row],[Current Price]]-undervalued_stocks[[#This Row],[Avg Price]])*undervalued_stocks[[#This Row],[Total Qty]],"")</f>
        <v/>
      </c>
      <c r="G15" s="2">
        <f>IF(undervalued_stocks[[#This Row],[Open P&amp;L]] = "", undervalued_stocks[[#This Row],[Total C&amp;G]], "")</f>
        <v>435.23199999999997</v>
      </c>
      <c r="H15" s="18">
        <f>IFERROR((undervalued_stocks[[#This Row],[Total Qty]]*undervalued_stocks[[#This Row],[Avg Price]])/$F$2,0)</f>
        <v>0</v>
      </c>
    </row>
    <row r="16" spans="1:13" x14ac:dyDescent="0.25">
      <c r="A16" s="31" t="s">
        <v>66</v>
      </c>
      <c r="B16">
        <v>50</v>
      </c>
      <c r="C16" s="2">
        <v>-950</v>
      </c>
      <c r="D16" s="2">
        <f>IFERROR(-undervalued_stocks[[#This Row],[Total C&amp;G]]/undervalued_stocks[[#This Row],[Total Qty]],"")</f>
        <v>19</v>
      </c>
      <c r="E16">
        <f>RTD("tos.rtd", , "LAST", undervalued_stocks[[#This Row],[Symbol]])</f>
        <v>13.38</v>
      </c>
      <c r="F16" s="2">
        <f>IFERROR((undervalued_stocks[[#This Row],[Current Price]]-undervalued_stocks[[#This Row],[Avg Price]])*undervalued_stocks[[#This Row],[Total Qty]],"")</f>
        <v>-280.99999999999994</v>
      </c>
      <c r="G16" s="2" t="str">
        <f>IF(undervalued_stocks[[#This Row],[Open P&amp;L]] = "", undervalued_stocks[[#This Row],[Total C&amp;G]], "")</f>
        <v/>
      </c>
      <c r="H16" s="18">
        <f>IFERROR((undervalued_stocks[[#This Row],[Total Qty]]*undervalued_stocks[[#This Row],[Avg Price]])/$F$2,0)</f>
        <v>8.0544356916632722E-3</v>
      </c>
    </row>
    <row r="17" spans="1:8" x14ac:dyDescent="0.25">
      <c r="A17" s="31" t="s">
        <v>17</v>
      </c>
      <c r="B17">
        <v>20</v>
      </c>
      <c r="C17" s="2">
        <v>-1975</v>
      </c>
      <c r="D17" s="2">
        <f>IFERROR(-undervalued_stocks[[#This Row],[Total C&amp;G]]/undervalued_stocks[[#This Row],[Total Qty]],"")</f>
        <v>98.75</v>
      </c>
      <c r="E17">
        <f>RTD("tos.rtd", , "LAST", undervalued_stocks[[#This Row],[Symbol]])</f>
        <v>93.19</v>
      </c>
      <c r="F17" s="2">
        <f>IFERROR((undervalued_stocks[[#This Row],[Current Price]]-undervalued_stocks[[#This Row],[Avg Price]])*undervalued_stocks[[#This Row],[Total Qty]],"")</f>
        <v>-111.20000000000005</v>
      </c>
      <c r="G17" s="2" t="str">
        <f>IF(undervalued_stocks[[#This Row],[Open P&amp;L]] = "", undervalued_stocks[[#This Row],[Total C&amp;G]], "")</f>
        <v/>
      </c>
      <c r="H17" s="18">
        <f>IFERROR((undervalued_stocks[[#This Row],[Total Qty]]*undervalued_stocks[[#This Row],[Avg Price]])/$F$2,0)</f>
        <v>1.6744747885299963E-2</v>
      </c>
    </row>
    <row r="18" spans="1:8" x14ac:dyDescent="0.25">
      <c r="A18" s="31" t="s">
        <v>26</v>
      </c>
      <c r="B18">
        <v>30</v>
      </c>
      <c r="C18" s="2">
        <v>-999.9</v>
      </c>
      <c r="D18" s="2">
        <f>IFERROR(-undervalued_stocks[[#This Row],[Total C&amp;G]]/undervalued_stocks[[#This Row],[Total Qty]],"")</f>
        <v>33.33</v>
      </c>
      <c r="E18">
        <f>RTD("tos.rtd", , "LAST", undervalued_stocks[[#This Row],[Symbol]])</f>
        <v>27.844999999999999</v>
      </c>
      <c r="F18" s="2">
        <f>IFERROR((undervalued_stocks[[#This Row],[Current Price]]-undervalued_stocks[[#This Row],[Avg Price]])*undervalued_stocks[[#This Row],[Total Qty]],"")</f>
        <v>-164.54999999999998</v>
      </c>
      <c r="G18" s="2" t="str">
        <f>IF(undervalued_stocks[[#This Row],[Open P&amp;L]] = "", undervalued_stocks[[#This Row],[Total C&amp;G]], "")</f>
        <v/>
      </c>
      <c r="H18" s="18">
        <f>IFERROR((undervalued_stocks[[#This Row],[Total Qty]]*undervalued_stocks[[#This Row],[Avg Price]])/$F$2,0)</f>
        <v>8.4775055243095851E-3</v>
      </c>
    </row>
    <row r="19" spans="1:8" x14ac:dyDescent="0.25">
      <c r="A19" s="31" t="s">
        <v>40</v>
      </c>
      <c r="B19">
        <v>10</v>
      </c>
      <c r="C19" s="2">
        <v>-740</v>
      </c>
      <c r="D19" s="2">
        <f>IFERROR(-undervalued_stocks[[#This Row],[Total C&amp;G]]/undervalued_stocks[[#This Row],[Total Qty]],"")</f>
        <v>74</v>
      </c>
      <c r="E19">
        <f>RTD("tos.rtd", , "LAST", undervalued_stocks[[#This Row],[Symbol]])</f>
        <v>76.5</v>
      </c>
      <c r="F19" s="2">
        <f>IFERROR((undervalued_stocks[[#This Row],[Current Price]]-undervalued_stocks[[#This Row],[Avg Price]])*undervalued_stocks[[#This Row],[Total Qty]],"")</f>
        <v>25</v>
      </c>
      <c r="G19" s="2" t="str">
        <f>IF(undervalued_stocks[[#This Row],[Open P&amp;L]] = "", undervalued_stocks[[#This Row],[Total C&amp;G]], "")</f>
        <v/>
      </c>
      <c r="H19" s="18">
        <f>IFERROR((undervalued_stocks[[#This Row],[Total Qty]]*undervalued_stocks[[#This Row],[Avg Price]])/$F$2,0)</f>
        <v>6.273981486137707E-3</v>
      </c>
    </row>
    <row r="20" spans="1:8" x14ac:dyDescent="0.25">
      <c r="A20" s="31" t="s">
        <v>42</v>
      </c>
      <c r="B20">
        <v>10</v>
      </c>
      <c r="C20" s="2">
        <v>-896.9</v>
      </c>
      <c r="D20" s="2">
        <f>IFERROR(-undervalued_stocks[[#This Row],[Total C&amp;G]]/undervalued_stocks[[#This Row],[Total Qty]],"")</f>
        <v>89.69</v>
      </c>
      <c r="E20">
        <f>RTD("tos.rtd", , "LAST", undervalued_stocks[[#This Row],[Symbol]])</f>
        <v>87.42</v>
      </c>
      <c r="F20" s="2">
        <f>IFERROR((undervalued_stocks[[#This Row],[Current Price]]-undervalued_stocks[[#This Row],[Avg Price]])*undervalued_stocks[[#This Row],[Total Qty]],"")</f>
        <v>-22.69999999999996</v>
      </c>
      <c r="G20" s="2" t="str">
        <f>IF(undervalued_stocks[[#This Row],[Open P&amp;L]] = "", undervalued_stocks[[#This Row],[Total C&amp;G]], "")</f>
        <v/>
      </c>
      <c r="H20" s="18">
        <f>IFERROR((undervalued_stocks[[#This Row],[Total Qty]]*undervalued_stocks[[#This Row],[Avg Price]])/$F$2,0)</f>
        <v>7.6042351282660939E-3</v>
      </c>
    </row>
    <row r="21" spans="1:8" x14ac:dyDescent="0.25">
      <c r="A21" s="31" t="s">
        <v>21</v>
      </c>
      <c r="B21">
        <v>10</v>
      </c>
      <c r="C21" s="2">
        <v>-1000</v>
      </c>
      <c r="D21" s="2">
        <f>IFERROR(-undervalued_stocks[[#This Row],[Total C&amp;G]]/undervalued_stocks[[#This Row],[Total Qty]],"")</f>
        <v>100</v>
      </c>
      <c r="E21">
        <f>RTD("tos.rtd", , "LAST", undervalued_stocks[[#This Row],[Symbol]])</f>
        <v>117.88500000000001</v>
      </c>
      <c r="F21" s="2">
        <f>IFERROR((undervalued_stocks[[#This Row],[Current Price]]-undervalued_stocks[[#This Row],[Avg Price]])*undervalued_stocks[[#This Row],[Total Qty]],"")</f>
        <v>178.85000000000005</v>
      </c>
      <c r="G21" s="2" t="str">
        <f>IF(undervalued_stocks[[#This Row],[Open P&amp;L]] = "", undervalued_stocks[[#This Row],[Total C&amp;G]], "")</f>
        <v/>
      </c>
      <c r="H21" s="18">
        <f>IFERROR((undervalued_stocks[[#This Row],[Total Qty]]*undervalued_stocks[[#This Row],[Avg Price]])/$F$2,0)</f>
        <v>8.4783533596455504E-3</v>
      </c>
    </row>
    <row r="22" spans="1:8" x14ac:dyDescent="0.25">
      <c r="A22" s="31" t="s">
        <v>25</v>
      </c>
      <c r="B22">
        <v>50</v>
      </c>
      <c r="C22" s="2">
        <v>-3790.2</v>
      </c>
      <c r="D22" s="2">
        <f>IFERROR(-undervalued_stocks[[#This Row],[Total C&amp;G]]/undervalued_stocks[[#This Row],[Total Qty]],"")</f>
        <v>75.804000000000002</v>
      </c>
      <c r="E22">
        <f>RTD("tos.rtd", , "LAST", undervalued_stocks[[#This Row],[Symbol]])</f>
        <v>75.7</v>
      </c>
      <c r="F22" s="2">
        <f>IFERROR((undervalued_stocks[[#This Row],[Current Price]]-undervalued_stocks[[#This Row],[Avg Price]])*undervalued_stocks[[#This Row],[Total Qty]],"")</f>
        <v>-5.1999999999999602</v>
      </c>
      <c r="G22" s="2" t="str">
        <f>IF(undervalued_stocks[[#This Row],[Open P&amp;L]] = "", undervalued_stocks[[#This Row],[Total C&amp;G]], "")</f>
        <v/>
      </c>
      <c r="H22" s="18">
        <f>IFERROR((undervalued_stocks[[#This Row],[Total Qty]]*undervalued_stocks[[#This Row],[Avg Price]])/$F$2,0)</f>
        <v>3.213465490372857E-2</v>
      </c>
    </row>
    <row r="23" spans="1:8" x14ac:dyDescent="0.25">
      <c r="A23" s="31" t="s">
        <v>34</v>
      </c>
      <c r="B23">
        <v>90</v>
      </c>
      <c r="C23" s="2">
        <v>-975.6</v>
      </c>
      <c r="D23" s="2">
        <f>IFERROR(-undervalued_stocks[[#This Row],[Total C&amp;G]]/undervalued_stocks[[#This Row],[Total Qty]],"")</f>
        <v>10.84</v>
      </c>
      <c r="E23">
        <f>RTD("tos.rtd", , "LAST", undervalued_stocks[[#This Row],[Symbol]])</f>
        <v>17.899999999999999</v>
      </c>
      <c r="F23" s="2">
        <f>IFERROR((undervalued_stocks[[#This Row],[Current Price]]-undervalued_stocks[[#This Row],[Avg Price]])*undervalued_stocks[[#This Row],[Total Qty]],"")</f>
        <v>635.39999999999986</v>
      </c>
      <c r="G23" s="2" t="str">
        <f>IF(undervalued_stocks[[#This Row],[Open P&amp;L]] = "", undervalued_stocks[[#This Row],[Total C&amp;G]], "")</f>
        <v/>
      </c>
      <c r="H23" s="18">
        <f>IFERROR((undervalued_stocks[[#This Row],[Total Qty]]*undervalued_stocks[[#This Row],[Avg Price]])/$F$2,0)</f>
        <v>8.271481537670199E-3</v>
      </c>
    </row>
    <row r="24" spans="1:8" x14ac:dyDescent="0.25">
      <c r="A24" s="31" t="s">
        <v>19</v>
      </c>
      <c r="B24">
        <v>100</v>
      </c>
      <c r="C24" s="2">
        <v>-1005.0000000000001</v>
      </c>
      <c r="D24" s="2">
        <f>IFERROR(-undervalued_stocks[[#This Row],[Total C&amp;G]]/undervalued_stocks[[#This Row],[Total Qty]],"")</f>
        <v>10.050000000000001</v>
      </c>
      <c r="E24">
        <f>RTD("tos.rtd", , "LAST", undervalued_stocks[[#This Row],[Symbol]])</f>
        <v>9.14</v>
      </c>
      <c r="F24" s="2">
        <f>IFERROR((undervalued_stocks[[#This Row],[Current Price]]-undervalued_stocks[[#This Row],[Avg Price]])*undervalued_stocks[[#This Row],[Total Qty]],"")</f>
        <v>-91.000000000000014</v>
      </c>
      <c r="G24" s="2" t="str">
        <f>IF(undervalued_stocks[[#This Row],[Open P&amp;L]] = "", undervalued_stocks[[#This Row],[Total C&amp;G]], "")</f>
        <v/>
      </c>
      <c r="H24" s="18">
        <f>IFERROR((undervalued_stocks[[#This Row],[Total Qty]]*undervalued_stocks[[#This Row],[Avg Price]])/$F$2,0)</f>
        <v>8.5207451264437788E-3</v>
      </c>
    </row>
    <row r="25" spans="1:8" x14ac:dyDescent="0.25">
      <c r="A25" s="31" t="s">
        <v>31</v>
      </c>
      <c r="B25">
        <v>20</v>
      </c>
      <c r="C25" s="2">
        <v>-1762.6</v>
      </c>
      <c r="D25" s="2">
        <f>IFERROR(-undervalued_stocks[[#This Row],[Total C&amp;G]]/undervalued_stocks[[#This Row],[Total Qty]],"")</f>
        <v>88.13</v>
      </c>
      <c r="E25">
        <f>RTD("tos.rtd", , "LAST", undervalued_stocks[[#This Row],[Symbol]])</f>
        <v>75.8</v>
      </c>
      <c r="F25" s="2">
        <f>IFERROR((undervalued_stocks[[#This Row],[Current Price]]-undervalued_stocks[[#This Row],[Avg Price]])*undervalued_stocks[[#This Row],[Total Qty]],"")</f>
        <v>-246.59999999999997</v>
      </c>
      <c r="G25" s="2" t="str">
        <f>IF(undervalued_stocks[[#This Row],[Open P&amp;L]] = "", undervalued_stocks[[#This Row],[Total C&amp;G]], "")</f>
        <v/>
      </c>
      <c r="H25" s="18">
        <f>IFERROR((undervalued_stocks[[#This Row],[Total Qty]]*undervalued_stocks[[#This Row],[Avg Price]])/$F$2,0)</f>
        <v>1.4943945631711246E-2</v>
      </c>
    </row>
    <row r="26" spans="1:8" x14ac:dyDescent="0.25">
      <c r="A26" s="31" t="s">
        <v>55</v>
      </c>
      <c r="B26">
        <v>20</v>
      </c>
      <c r="C26" s="2">
        <v>-890</v>
      </c>
      <c r="D26" s="2">
        <f>IFERROR(-undervalued_stocks[[#This Row],[Total C&amp;G]]/undervalued_stocks[[#This Row],[Total Qty]],"")</f>
        <v>44.5</v>
      </c>
      <c r="E26">
        <f>RTD("tos.rtd", , "LAST", undervalued_stocks[[#This Row],[Symbol]])</f>
        <v>48.87</v>
      </c>
      <c r="F26" s="2">
        <f>IFERROR((undervalued_stocks[[#This Row],[Current Price]]-undervalued_stocks[[#This Row],[Avg Price]])*undervalued_stocks[[#This Row],[Total Qty]],"")</f>
        <v>87.399999999999949</v>
      </c>
      <c r="G26" s="2" t="str">
        <f>IF(undervalued_stocks[[#This Row],[Open P&amp;L]] = "", undervalued_stocks[[#This Row],[Total C&amp;G]], "")</f>
        <v/>
      </c>
      <c r="H26" s="18">
        <f>IFERROR((undervalued_stocks[[#This Row],[Total Qty]]*undervalued_stocks[[#This Row],[Avg Price]])/$F$2,0)</f>
        <v>7.5457344900845399E-3</v>
      </c>
    </row>
    <row r="27" spans="1:8" x14ac:dyDescent="0.25">
      <c r="A27" s="31" t="s">
        <v>52</v>
      </c>
      <c r="B27">
        <v>120</v>
      </c>
      <c r="C27" s="2">
        <v>-1003.2</v>
      </c>
      <c r="D27" s="2">
        <f>IFERROR(-undervalued_stocks[[#This Row],[Total C&amp;G]]/undervalued_stocks[[#This Row],[Total Qty]],"")</f>
        <v>8.3600000000000012</v>
      </c>
      <c r="E27">
        <f>RTD("tos.rtd", , "LAST", undervalued_stocks[[#This Row],[Symbol]])</f>
        <v>4.92</v>
      </c>
      <c r="F27" s="2">
        <f>IFERROR((undervalued_stocks[[#This Row],[Current Price]]-undervalued_stocks[[#This Row],[Avg Price]])*undervalued_stocks[[#This Row],[Total Qty]],"")</f>
        <v>-412.80000000000018</v>
      </c>
      <c r="G27" s="2" t="str">
        <f>IF(undervalued_stocks[[#This Row],[Open P&amp;L]] = "", undervalued_stocks[[#This Row],[Total C&amp;G]], "")</f>
        <v/>
      </c>
      <c r="H27" s="18">
        <f>IFERROR((undervalued_stocks[[#This Row],[Total Qty]]*undervalued_stocks[[#This Row],[Avg Price]])/$F$2,0)</f>
        <v>8.5054840903964167E-3</v>
      </c>
    </row>
    <row r="28" spans="1:8" x14ac:dyDescent="0.25">
      <c r="A28" s="31" t="s">
        <v>68</v>
      </c>
      <c r="B28">
        <v>20</v>
      </c>
      <c r="C28" s="2">
        <v>-823</v>
      </c>
      <c r="D28" s="2">
        <f>IFERROR(-undervalued_stocks[[#This Row],[Total C&amp;G]]/undervalued_stocks[[#This Row],[Total Qty]],"")</f>
        <v>41.15</v>
      </c>
      <c r="E28">
        <f>RTD("tos.rtd", , "LAST", undervalued_stocks[[#This Row],[Symbol]])</f>
        <v>44.35</v>
      </c>
      <c r="F28" s="2">
        <f>IFERROR((undervalued_stocks[[#This Row],[Current Price]]-undervalued_stocks[[#This Row],[Avg Price]])*undervalued_stocks[[#This Row],[Total Qty]],"")</f>
        <v>64.000000000000057</v>
      </c>
      <c r="G28" s="2" t="str">
        <f>IF(undervalued_stocks[[#This Row],[Open P&amp;L]] = "", undervalued_stocks[[#This Row],[Total C&amp;G]], "")</f>
        <v/>
      </c>
      <c r="H28" s="18">
        <f>IFERROR((undervalued_stocks[[#This Row],[Total Qty]]*undervalued_stocks[[#This Row],[Avg Price]])/$F$2,0)</f>
        <v>6.9776848149882874E-3</v>
      </c>
    </row>
    <row r="29" spans="1:8" x14ac:dyDescent="0.25">
      <c r="A29" s="31" t="s">
        <v>35</v>
      </c>
      <c r="B29">
        <v>40</v>
      </c>
      <c r="C29" s="2">
        <v>-3781.5</v>
      </c>
      <c r="D29" s="2">
        <f>IFERROR(-undervalued_stocks[[#This Row],[Total C&amp;G]]/undervalued_stocks[[#This Row],[Total Qty]],"")</f>
        <v>94.537499999999994</v>
      </c>
      <c r="E29">
        <f>RTD("tos.rtd", , "LAST", undervalued_stocks[[#This Row],[Symbol]])</f>
        <v>88.36</v>
      </c>
      <c r="F29" s="2">
        <f>IFERROR((undervalued_stocks[[#This Row],[Current Price]]-undervalued_stocks[[#This Row],[Avg Price]])*undervalued_stocks[[#This Row],[Total Qty]],"")</f>
        <v>-247.0999999999998</v>
      </c>
      <c r="G29" s="2" t="str">
        <f>IF(undervalued_stocks[[#This Row],[Open P&amp;L]] = "", undervalued_stocks[[#This Row],[Total C&amp;G]], "")</f>
        <v/>
      </c>
      <c r="H29" s="18">
        <f>IFERROR((undervalued_stocks[[#This Row],[Total Qty]]*undervalued_stocks[[#This Row],[Avg Price]])/$F$2,0)</f>
        <v>3.2060893229499648E-2</v>
      </c>
    </row>
    <row r="30" spans="1:8" x14ac:dyDescent="0.25">
      <c r="A30" s="31" t="s">
        <v>29</v>
      </c>
      <c r="B30">
        <v>180</v>
      </c>
      <c r="C30" s="2">
        <v>-4752.7999999999993</v>
      </c>
      <c r="D30" s="2">
        <f>IFERROR(-undervalued_stocks[[#This Row],[Total C&amp;G]]/undervalued_stocks[[#This Row],[Total Qty]],"")</f>
        <v>26.40444444444444</v>
      </c>
      <c r="E30">
        <f>RTD("tos.rtd", , "LAST", undervalued_stocks[[#This Row],[Symbol]])</f>
        <v>28.54</v>
      </c>
      <c r="F30" s="2">
        <f>IFERROR((undervalued_stocks[[#This Row],[Current Price]]-undervalued_stocks[[#This Row],[Avg Price]])*undervalued_stocks[[#This Row],[Total Qty]],"")</f>
        <v>384.4000000000006</v>
      </c>
      <c r="G30" s="2" t="str">
        <f>IF(undervalued_stocks[[#This Row],[Open P&amp;L]] = "", undervalued_stocks[[#This Row],[Total C&amp;G]], "")</f>
        <v/>
      </c>
      <c r="H30" s="18">
        <f>IFERROR((undervalued_stocks[[#This Row],[Total Qty]]*undervalued_stocks[[#This Row],[Avg Price]])/$F$2,0)</f>
        <v>4.0295917847723364E-2</v>
      </c>
    </row>
    <row r="31" spans="1:8" x14ac:dyDescent="0.25">
      <c r="A31" s="31" t="s">
        <v>22</v>
      </c>
      <c r="B31">
        <v>90</v>
      </c>
      <c r="C31" s="2">
        <v>-2000.6</v>
      </c>
      <c r="D31" s="2">
        <f>IFERROR(-undervalued_stocks[[#This Row],[Total C&amp;G]]/undervalued_stocks[[#This Row],[Total Qty]],"")</f>
        <v>22.228888888888889</v>
      </c>
      <c r="E31">
        <f>RTD("tos.rtd", , "LAST", undervalued_stocks[[#This Row],[Symbol]])</f>
        <v>30.765000000000001</v>
      </c>
      <c r="F31" s="2">
        <f>IFERROR((undervalued_stocks[[#This Row],[Current Price]]-undervalued_stocks[[#This Row],[Avg Price]])*undervalued_stocks[[#This Row],[Total Qty]],"")</f>
        <v>768.25</v>
      </c>
      <c r="G31" s="2" t="str">
        <f>IF(undervalued_stocks[[#This Row],[Open P&amp;L]] = "", undervalued_stocks[[#This Row],[Total C&amp;G]], "")</f>
        <v/>
      </c>
      <c r="H31" s="18">
        <f>IFERROR((undervalued_stocks[[#This Row],[Total Qty]]*undervalued_stocks[[#This Row],[Avg Price]])/$F$2,0)</f>
        <v>1.6961793731306886E-2</v>
      </c>
    </row>
    <row r="32" spans="1:8" x14ac:dyDescent="0.25">
      <c r="A32" s="31" t="s">
        <v>11</v>
      </c>
      <c r="B32">
        <v>90</v>
      </c>
      <c r="C32" s="2">
        <v>-1980.4</v>
      </c>
      <c r="D32" s="2">
        <f>IFERROR(-undervalued_stocks[[#This Row],[Total C&amp;G]]/undervalued_stocks[[#This Row],[Total Qty]],"")</f>
        <v>22.004444444444445</v>
      </c>
      <c r="E32">
        <f>RTD("tos.rtd", , "LAST", undervalued_stocks[[#This Row],[Symbol]])</f>
        <v>34.159999999999997</v>
      </c>
      <c r="F32" s="2">
        <f>IFERROR((undervalued_stocks[[#This Row],[Current Price]]-undervalued_stocks[[#This Row],[Avg Price]])*undervalued_stocks[[#This Row],[Total Qty]],"")</f>
        <v>1093.9999999999995</v>
      </c>
      <c r="G32" s="2" t="str">
        <f>IF(undervalued_stocks[[#This Row],[Open P&amp;L]] = "", undervalued_stocks[[#This Row],[Total C&amp;G]], "")</f>
        <v/>
      </c>
      <c r="H32" s="18">
        <f>IFERROR((undervalued_stocks[[#This Row],[Total Qty]]*undervalued_stocks[[#This Row],[Avg Price]])/$F$2,0)</f>
        <v>1.6790530993442049E-2</v>
      </c>
    </row>
    <row r="33" spans="1:8" x14ac:dyDescent="0.25">
      <c r="A33" s="31" t="s">
        <v>18</v>
      </c>
      <c r="B33">
        <v>1150</v>
      </c>
      <c r="C33" s="2">
        <v>-5909.4539999999997</v>
      </c>
      <c r="D33" s="2">
        <f>IFERROR(-undervalued_stocks[[#This Row],[Total C&amp;G]]/undervalued_stocks[[#This Row],[Total Qty]],"")</f>
        <v>5.1386556521739131</v>
      </c>
      <c r="E33">
        <f>RTD("tos.rtd", , "LAST", undervalued_stocks[[#This Row],[Symbol]])</f>
        <v>6.1749999999999998</v>
      </c>
      <c r="F33" s="2">
        <f>IFERROR((undervalued_stocks[[#This Row],[Current Price]]-undervalued_stocks[[#This Row],[Avg Price]])*undervalued_stocks[[#This Row],[Total Qty]],"")</f>
        <v>1191.7959999999998</v>
      </c>
      <c r="G33" s="2" t="str">
        <f>IF(undervalued_stocks[[#This Row],[Open P&amp;L]] = "", undervalued_stocks[[#This Row],[Total C&amp;G]], "")</f>
        <v/>
      </c>
      <c r="H33" s="18">
        <f>IFERROR((undervalued_stocks[[#This Row],[Total Qty]]*undervalued_stocks[[#This Row],[Avg Price]])/$F$2,0)</f>
        <v>5.0102439174570836E-2</v>
      </c>
    </row>
    <row r="34" spans="1:8" x14ac:dyDescent="0.25">
      <c r="A34" s="31" t="s">
        <v>12</v>
      </c>
      <c r="B34">
        <v>150</v>
      </c>
      <c r="C34" s="2">
        <v>-2972</v>
      </c>
      <c r="D34" s="2">
        <f>IFERROR(-undervalued_stocks[[#This Row],[Total C&amp;G]]/undervalued_stocks[[#This Row],[Total Qty]],"")</f>
        <v>19.813333333333333</v>
      </c>
      <c r="E34">
        <f>RTD("tos.rtd", , "LAST", undervalued_stocks[[#This Row],[Symbol]])</f>
        <v>27.19</v>
      </c>
      <c r="F34" s="2">
        <f>IFERROR((undervalued_stocks[[#This Row],[Current Price]]-undervalued_stocks[[#This Row],[Avg Price]])*undervalued_stocks[[#This Row],[Total Qty]],"")</f>
        <v>1106.5000000000002</v>
      </c>
      <c r="G34" s="2" t="str">
        <f>IF(undervalued_stocks[[#This Row],[Open P&amp;L]] = "", undervalued_stocks[[#This Row],[Total C&amp;G]], "")</f>
        <v/>
      </c>
      <c r="H34" s="18">
        <f>IFERROR((undervalued_stocks[[#This Row],[Total Qty]]*undervalued_stocks[[#This Row],[Avg Price]])/$F$2,0)</f>
        <v>2.5197666184866574E-2</v>
      </c>
    </row>
    <row r="35" spans="1:8" x14ac:dyDescent="0.25">
      <c r="A35" s="31" t="s">
        <v>54</v>
      </c>
      <c r="B35">
        <v>20</v>
      </c>
      <c r="C35" s="2">
        <v>-920</v>
      </c>
      <c r="D35" s="2">
        <f>IFERROR(-undervalued_stocks[[#This Row],[Total C&amp;G]]/undervalued_stocks[[#This Row],[Total Qty]],"")</f>
        <v>46</v>
      </c>
      <c r="E35">
        <f>RTD("tos.rtd", , "LAST", undervalued_stocks[[#This Row],[Symbol]])</f>
        <v>40.56</v>
      </c>
      <c r="F35" s="2">
        <f>IFERROR((undervalued_stocks[[#This Row],[Current Price]]-undervalued_stocks[[#This Row],[Avg Price]])*undervalued_stocks[[#This Row],[Total Qty]],"")</f>
        <v>-108.79999999999995</v>
      </c>
      <c r="G35" s="2" t="str">
        <f>IF(undervalued_stocks[[#This Row],[Open P&amp;L]] = "", undervalued_stocks[[#This Row],[Total C&amp;G]], "")</f>
        <v/>
      </c>
      <c r="H35" s="18">
        <f>IFERROR((undervalued_stocks[[#This Row],[Total Qty]]*undervalued_stocks[[#This Row],[Avg Price]])/$F$2,0)</f>
        <v>7.8000850908739065E-3</v>
      </c>
    </row>
    <row r="36" spans="1:8" x14ac:dyDescent="0.25">
      <c r="A36" s="31" t="s">
        <v>24</v>
      </c>
      <c r="B36">
        <v>10</v>
      </c>
      <c r="C36" s="2">
        <v>-920</v>
      </c>
      <c r="D36" s="2">
        <f>IFERROR(-undervalued_stocks[[#This Row],[Total C&amp;G]]/undervalued_stocks[[#This Row],[Total Qty]],"")</f>
        <v>92</v>
      </c>
      <c r="E36">
        <f>RTD("tos.rtd", , "LAST", undervalued_stocks[[#This Row],[Symbol]])</f>
        <v>87.2</v>
      </c>
      <c r="F36" s="2">
        <f>IFERROR((undervalued_stocks[[#This Row],[Current Price]]-undervalued_stocks[[#This Row],[Avg Price]])*undervalued_stocks[[#This Row],[Total Qty]],"")</f>
        <v>-47.999999999999972</v>
      </c>
      <c r="G36" s="2" t="str">
        <f>IF(undervalued_stocks[[#This Row],[Open P&amp;L]] = "", undervalued_stocks[[#This Row],[Total C&amp;G]], "")</f>
        <v/>
      </c>
      <c r="H36" s="18">
        <f>IFERROR((undervalued_stocks[[#This Row],[Total Qty]]*undervalued_stocks[[#This Row],[Avg Price]])/$F$2,0)</f>
        <v>7.8000850908739065E-3</v>
      </c>
    </row>
    <row r="37" spans="1:8" x14ac:dyDescent="0.25">
      <c r="A37" s="31" t="s">
        <v>8</v>
      </c>
      <c r="B37">
        <v>270</v>
      </c>
      <c r="C37" s="2">
        <v>-936.90000000000009</v>
      </c>
      <c r="D37" s="2">
        <f>IFERROR(-undervalued_stocks[[#This Row],[Total C&amp;G]]/undervalued_stocks[[#This Row],[Total Qty]],"")</f>
        <v>3.47</v>
      </c>
      <c r="E37">
        <f>RTD("tos.rtd", , "LAST", undervalued_stocks[[#This Row],[Symbol]])</f>
        <v>3.7349999999999999</v>
      </c>
      <c r="F37" s="2">
        <f>IFERROR((undervalued_stocks[[#This Row],[Current Price]]-undervalued_stocks[[#This Row],[Avg Price]])*undervalued_stocks[[#This Row],[Total Qty]],"")</f>
        <v>71.549999999999912</v>
      </c>
      <c r="G37" s="2" t="str">
        <f>IF(undervalued_stocks[[#This Row],[Open P&amp;L]] = "", undervalued_stocks[[#This Row],[Total C&amp;G]], "")</f>
        <v/>
      </c>
      <c r="H37" s="18">
        <f>IFERROR((undervalued_stocks[[#This Row],[Total Qty]]*undervalued_stocks[[#This Row],[Avg Price]])/$F$2,0)</f>
        <v>7.9433692626519163E-3</v>
      </c>
    </row>
    <row r="38" spans="1:8" x14ac:dyDescent="0.25">
      <c r="A38" s="31" t="s">
        <v>45</v>
      </c>
      <c r="B38">
        <v>60</v>
      </c>
      <c r="C38" s="2">
        <v>-960</v>
      </c>
      <c r="D38" s="2">
        <f>IFERROR(-undervalued_stocks[[#This Row],[Total C&amp;G]]/undervalued_stocks[[#This Row],[Total Qty]],"")</f>
        <v>16</v>
      </c>
      <c r="E38">
        <f>RTD("tos.rtd", , "LAST", undervalued_stocks[[#This Row],[Symbol]])</f>
        <v>20.254999999999999</v>
      </c>
      <c r="F38" s="2">
        <f>IFERROR((undervalued_stocks[[#This Row],[Current Price]]-undervalued_stocks[[#This Row],[Avg Price]])*undervalued_stocks[[#This Row],[Total Qty]],"")</f>
        <v>255.29999999999995</v>
      </c>
      <c r="G38" s="2" t="str">
        <f>IF(undervalued_stocks[[#This Row],[Open P&amp;L]] = "", undervalued_stocks[[#This Row],[Total C&amp;G]], "")</f>
        <v/>
      </c>
      <c r="H38" s="18">
        <f>IFERROR((undervalued_stocks[[#This Row],[Total Qty]]*undervalued_stocks[[#This Row],[Avg Price]])/$F$2,0)</f>
        <v>8.1392192252597289E-3</v>
      </c>
    </row>
    <row r="39" spans="1:8" x14ac:dyDescent="0.25">
      <c r="A39" s="31" t="s">
        <v>14</v>
      </c>
      <c r="B39">
        <v>130</v>
      </c>
      <c r="C39" s="2">
        <v>-933.39999999999986</v>
      </c>
      <c r="D39" s="2">
        <f>IFERROR(-undervalued_stocks[[#This Row],[Total C&amp;G]]/undervalued_stocks[[#This Row],[Total Qty]],"")</f>
        <v>7.1799999999999988</v>
      </c>
      <c r="E39">
        <f>RTD("tos.rtd", , "LAST", undervalued_stocks[[#This Row],[Symbol]])</f>
        <v>7.0149999999999997</v>
      </c>
      <c r="F39" s="2">
        <f>IFERROR((undervalued_stocks[[#This Row],[Current Price]]-undervalued_stocks[[#This Row],[Avg Price]])*undervalued_stocks[[#This Row],[Total Qty]],"")</f>
        <v>-21.449999999999889</v>
      </c>
      <c r="G39" s="2" t="str">
        <f>IF(undervalued_stocks[[#This Row],[Open P&amp;L]] = "", undervalued_stocks[[#This Row],[Total C&amp;G]], "")</f>
        <v/>
      </c>
      <c r="H39" s="18">
        <f>IFERROR((undervalued_stocks[[#This Row],[Total Qty]]*undervalued_stocks[[#This Row],[Avg Price]])/$F$2,0)</f>
        <v>7.9136950258931558E-3</v>
      </c>
    </row>
    <row r="40" spans="1:8" x14ac:dyDescent="0.25">
      <c r="A40" s="31" t="s">
        <v>105</v>
      </c>
      <c r="B40">
        <v>0</v>
      </c>
      <c r="C40" s="2">
        <v>1002</v>
      </c>
      <c r="D40" s="2" t="str">
        <f>IFERROR(-undervalued_stocks[[#This Row],[Total C&amp;G]]/undervalued_stocks[[#This Row],[Total Qty]],"")</f>
        <v/>
      </c>
      <c r="E40">
        <f>RTD("tos.rtd", , "LAST", undervalued_stocks[[#This Row],[Symbol]])</f>
        <v>474.79500000000002</v>
      </c>
      <c r="F40" s="2" t="str">
        <f>IFERROR((undervalued_stocks[[#This Row],[Current Price]]-undervalued_stocks[[#This Row],[Avg Price]])*undervalued_stocks[[#This Row],[Total Qty]],"")</f>
        <v/>
      </c>
      <c r="G40" s="2">
        <f>IF(undervalued_stocks[[#This Row],[Open P&amp;L]] = "", undervalued_stocks[[#This Row],[Total C&amp;G]], "")</f>
        <v>1002</v>
      </c>
      <c r="H40" s="18">
        <f>IFERROR((undervalued_stocks[[#This Row],[Total Qty]]*undervalued_stocks[[#This Row],[Avg Price]])/$F$2,0)</f>
        <v>0</v>
      </c>
    </row>
    <row r="41" spans="1:8" x14ac:dyDescent="0.25">
      <c r="A41" s="31" t="s">
        <v>36</v>
      </c>
      <c r="B41">
        <v>50</v>
      </c>
      <c r="C41" s="2">
        <v>-1770</v>
      </c>
      <c r="D41" s="2">
        <f>IFERROR(-undervalued_stocks[[#This Row],[Total C&amp;G]]/undervalued_stocks[[#This Row],[Total Qty]],"")</f>
        <v>35.4</v>
      </c>
      <c r="E41">
        <f>RTD("tos.rtd", , "LAST", undervalued_stocks[[#This Row],[Symbol]])</f>
        <v>38</v>
      </c>
      <c r="F41" s="2">
        <f>IFERROR((undervalued_stocks[[#This Row],[Current Price]]-undervalued_stocks[[#This Row],[Avg Price]])*undervalued_stocks[[#This Row],[Total Qty]],"")</f>
        <v>130.00000000000006</v>
      </c>
      <c r="G41" s="2" t="str">
        <f>IF(undervalued_stocks[[#This Row],[Open P&amp;L]] = "", undervalued_stocks[[#This Row],[Total C&amp;G]], "")</f>
        <v/>
      </c>
      <c r="H41" s="18">
        <f>IFERROR((undervalued_stocks[[#This Row],[Total Qty]]*undervalued_stocks[[#This Row],[Avg Price]])/$F$2,0)</f>
        <v>1.5006685446572623E-2</v>
      </c>
    </row>
    <row r="42" spans="1:8" x14ac:dyDescent="0.25">
      <c r="A42" s="31" t="s">
        <v>67</v>
      </c>
      <c r="B42">
        <v>10</v>
      </c>
      <c r="C42" s="2">
        <v>-783.40000000000009</v>
      </c>
      <c r="D42" s="2">
        <f>IFERROR(-undervalued_stocks[[#This Row],[Total C&amp;G]]/undervalued_stocks[[#This Row],[Total Qty]],"")</f>
        <v>78.34</v>
      </c>
      <c r="E42">
        <f>RTD("tos.rtd", , "LAST", undervalued_stocks[[#This Row],[Symbol]])</f>
        <v>87.305000000000007</v>
      </c>
      <c r="F42" s="2">
        <f>IFERROR((undervalued_stocks[[#This Row],[Current Price]]-undervalued_stocks[[#This Row],[Avg Price]])*undervalued_stocks[[#This Row],[Total Qty]],"")</f>
        <v>89.650000000000034</v>
      </c>
      <c r="G42" s="2" t="str">
        <f>IF(undervalued_stocks[[#This Row],[Open P&amp;L]] = "", undervalued_stocks[[#This Row],[Total C&amp;G]], "")</f>
        <v/>
      </c>
      <c r="H42" s="18">
        <f>IFERROR((undervalued_stocks[[#This Row],[Total Qty]]*undervalued_stocks[[#This Row],[Avg Price]])/$F$2,0)</f>
        <v>6.6419420219463246E-3</v>
      </c>
    </row>
    <row r="43" spans="1:8" x14ac:dyDescent="0.25">
      <c r="A43" s="31" t="s">
        <v>20</v>
      </c>
      <c r="B43">
        <v>40</v>
      </c>
      <c r="C43" s="2">
        <v>-1680</v>
      </c>
      <c r="D43" s="2">
        <f>IFERROR(-undervalued_stocks[[#This Row],[Total C&amp;G]]/undervalued_stocks[[#This Row],[Total Qty]],"")</f>
        <v>42</v>
      </c>
      <c r="E43">
        <f>RTD("tos.rtd", , "LAST", undervalued_stocks[[#This Row],[Symbol]])</f>
        <v>47.92</v>
      </c>
      <c r="F43" s="2">
        <f>IFERROR((undervalued_stocks[[#This Row],[Current Price]]-undervalued_stocks[[#This Row],[Avg Price]])*undervalued_stocks[[#This Row],[Total Qty]],"")</f>
        <v>236.80000000000007</v>
      </c>
      <c r="G43" s="2" t="str">
        <f>IF(undervalued_stocks[[#This Row],[Open P&amp;L]] = "", undervalued_stocks[[#This Row],[Total C&amp;G]], "")</f>
        <v/>
      </c>
      <c r="H43" s="18">
        <f>IFERROR((undervalued_stocks[[#This Row],[Total Qty]]*undervalued_stocks[[#This Row],[Avg Price]])/$F$2,0)</f>
        <v>1.4243633644204523E-2</v>
      </c>
    </row>
    <row r="44" spans="1:8" x14ac:dyDescent="0.25">
      <c r="A44" s="31" t="s">
        <v>32</v>
      </c>
      <c r="B44">
        <v>50</v>
      </c>
      <c r="C44" s="2">
        <v>-1732.3</v>
      </c>
      <c r="D44" s="2">
        <f>IFERROR(-undervalued_stocks[[#This Row],[Total C&amp;G]]/undervalued_stocks[[#This Row],[Total Qty]],"")</f>
        <v>34.646000000000001</v>
      </c>
      <c r="E44">
        <f>RTD("tos.rtd", , "LAST", undervalued_stocks[[#This Row],[Symbol]])</f>
        <v>39.56</v>
      </c>
      <c r="F44" s="2">
        <f>IFERROR((undervalued_stocks[[#This Row],[Current Price]]-undervalued_stocks[[#This Row],[Avg Price]])*undervalued_stocks[[#This Row],[Total Qty]],"")</f>
        <v>245.70000000000007</v>
      </c>
      <c r="G44" s="2" t="str">
        <f>IF(undervalued_stocks[[#This Row],[Open P&amp;L]] = "", undervalued_stocks[[#This Row],[Total C&amp;G]], "")</f>
        <v/>
      </c>
      <c r="H44" s="18">
        <f>IFERROR((undervalued_stocks[[#This Row],[Total Qty]]*undervalued_stocks[[#This Row],[Avg Price]])/$F$2,0)</f>
        <v>1.4687051524913987E-2</v>
      </c>
    </row>
    <row r="45" spans="1:8" x14ac:dyDescent="0.25">
      <c r="A45" s="31" t="s">
        <v>53</v>
      </c>
      <c r="B45">
        <v>20</v>
      </c>
      <c r="C45" s="2">
        <v>-2304.9</v>
      </c>
      <c r="D45" s="2">
        <f>IFERROR(-undervalued_stocks[[#This Row],[Total C&amp;G]]/undervalued_stocks[[#This Row],[Total Qty]],"")</f>
        <v>115.245</v>
      </c>
      <c r="E45">
        <f>RTD("tos.rtd", , "LAST", undervalued_stocks[[#This Row],[Symbol]])</f>
        <v>113.64</v>
      </c>
      <c r="F45" s="2">
        <f>IFERROR((undervalued_stocks[[#This Row],[Current Price]]-undervalued_stocks[[#This Row],[Avg Price]])*undervalued_stocks[[#This Row],[Total Qty]],"")</f>
        <v>-32.10000000000008</v>
      </c>
      <c r="G45" s="2" t="str">
        <f>IF(undervalued_stocks[[#This Row],[Open P&amp;L]] = "", undervalued_stocks[[#This Row],[Total C&amp;G]], "")</f>
        <v/>
      </c>
      <c r="H45" s="18">
        <f>IFERROR((undervalued_stocks[[#This Row],[Total Qty]]*undervalued_stocks[[#This Row],[Avg Price]])/$F$2,0)</f>
        <v>1.954175665864703E-2</v>
      </c>
    </row>
    <row r="46" spans="1:8" x14ac:dyDescent="0.25">
      <c r="A46" s="31" t="s">
        <v>13</v>
      </c>
      <c r="B46">
        <v>20</v>
      </c>
      <c r="C46" s="2">
        <v>-1154.8</v>
      </c>
      <c r="D46" s="2">
        <f>IFERROR(-undervalued_stocks[[#This Row],[Total C&amp;G]]/undervalued_stocks[[#This Row],[Total Qty]],"")</f>
        <v>57.739999999999995</v>
      </c>
      <c r="E46">
        <f>RTD("tos.rtd", , "LAST", undervalued_stocks[[#This Row],[Symbol]])</f>
        <v>58.45</v>
      </c>
      <c r="F46" s="2">
        <f>IFERROR((undervalued_stocks[[#This Row],[Current Price]]-undervalued_stocks[[#This Row],[Avg Price]])*undervalued_stocks[[#This Row],[Total Qty]],"")</f>
        <v>14.200000000000159</v>
      </c>
      <c r="G46" s="2" t="str">
        <f>IF(undervalued_stocks[[#This Row],[Open P&amp;L]] = "", undervalued_stocks[[#This Row],[Total C&amp;G]], "")</f>
        <v/>
      </c>
      <c r="H46" s="18">
        <f>IFERROR((undervalued_stocks[[#This Row],[Total Qty]]*undervalued_stocks[[#This Row],[Avg Price]])/$F$2,0)</f>
        <v>9.790802459718681E-3</v>
      </c>
    </row>
    <row r="47" spans="1:8" x14ac:dyDescent="0.25">
      <c r="A47" s="31" t="s">
        <v>51</v>
      </c>
      <c r="B47">
        <v>20</v>
      </c>
      <c r="C47" s="2">
        <v>-2305.6</v>
      </c>
      <c r="D47" s="2">
        <f>IFERROR(-undervalued_stocks[[#This Row],[Total C&amp;G]]/undervalued_stocks[[#This Row],[Total Qty]],"")</f>
        <v>115.28</v>
      </c>
      <c r="E47">
        <f>RTD("tos.rtd", , "LAST", undervalued_stocks[[#This Row],[Symbol]])</f>
        <v>119.6</v>
      </c>
      <c r="F47" s="2">
        <f>IFERROR((undervalued_stocks[[#This Row],[Current Price]]-undervalued_stocks[[#This Row],[Avg Price]])*undervalued_stocks[[#This Row],[Total Qty]],"")</f>
        <v>86.399999999999864</v>
      </c>
      <c r="G47" s="2" t="str">
        <f>IF(undervalued_stocks[[#This Row],[Open P&amp;L]] = "", undervalued_stocks[[#This Row],[Total C&amp;G]], "")</f>
        <v/>
      </c>
      <c r="H47" s="18">
        <f>IFERROR((undervalued_stocks[[#This Row],[Total Qty]]*undervalued_stocks[[#This Row],[Avg Price]])/$F$2,0)</f>
        <v>1.954769150599878E-2</v>
      </c>
    </row>
    <row r="48" spans="1:8" x14ac:dyDescent="0.25">
      <c r="A48" s="31" t="s">
        <v>64</v>
      </c>
      <c r="B48">
        <v>20</v>
      </c>
      <c r="C48" s="2">
        <v>-842.8</v>
      </c>
      <c r="D48" s="2">
        <f>IFERROR(-undervalued_stocks[[#This Row],[Total C&amp;G]]/undervalued_stocks[[#This Row],[Total Qty]],"")</f>
        <v>42.14</v>
      </c>
      <c r="E48">
        <f>RTD("tos.rtd", , "LAST", undervalued_stocks[[#This Row],[Symbol]])</f>
        <v>46.765000000000001</v>
      </c>
      <c r="F48" s="2">
        <f>IFERROR((undervalued_stocks[[#This Row],[Current Price]]-undervalued_stocks[[#This Row],[Avg Price]])*undervalued_stocks[[#This Row],[Total Qty]],"")</f>
        <v>92.5</v>
      </c>
      <c r="G48" s="2" t="str">
        <f>IF(undervalued_stocks[[#This Row],[Open P&amp;L]] = "", undervalued_stocks[[#This Row],[Total C&amp;G]], "")</f>
        <v/>
      </c>
      <c r="H48" s="18">
        <f>IFERROR((undervalued_stocks[[#This Row],[Total Qty]]*undervalued_stocks[[#This Row],[Avg Price]])/$F$2,0)</f>
        <v>7.1455562115092693E-3</v>
      </c>
    </row>
    <row r="49" spans="1:8" x14ac:dyDescent="0.25">
      <c r="A49" s="31" t="s">
        <v>23</v>
      </c>
      <c r="B49">
        <v>280</v>
      </c>
      <c r="C49" s="2">
        <v>-2925.75</v>
      </c>
      <c r="D49" s="2">
        <f>IFERROR(-undervalued_stocks[[#This Row],[Total C&amp;G]]/undervalued_stocks[[#This Row],[Total Qty]],"")</f>
        <v>10.449107142857143</v>
      </c>
      <c r="E49">
        <f>RTD("tos.rtd", , "LAST", undervalued_stocks[[#This Row],[Symbol]])</f>
        <v>8.67</v>
      </c>
      <c r="F49" s="2">
        <f>IFERROR((undervalued_stocks[[#This Row],[Current Price]]-undervalued_stocks[[#This Row],[Avg Price]])*undervalued_stocks[[#This Row],[Total Qty]],"")</f>
        <v>-498.15</v>
      </c>
      <c r="G49" s="2" t="str">
        <f>IF(undervalued_stocks[[#This Row],[Open P&amp;L]] = "", undervalued_stocks[[#This Row],[Total C&amp;G]], "")</f>
        <v/>
      </c>
      <c r="H49" s="18">
        <f>IFERROR((undervalued_stocks[[#This Row],[Total Qty]]*undervalued_stocks[[#This Row],[Avg Price]])/$F$2,0)</f>
        <v>2.480554234198297E-2</v>
      </c>
    </row>
    <row r="50" spans="1:8" x14ac:dyDescent="0.25">
      <c r="A50" s="31" t="s">
        <v>27</v>
      </c>
      <c r="B50">
        <v>150</v>
      </c>
      <c r="C50" s="2">
        <v>-2850</v>
      </c>
      <c r="D50" s="2">
        <f>IFERROR(-undervalued_stocks[[#This Row],[Total C&amp;G]]/undervalued_stocks[[#This Row],[Total Qty]],"")</f>
        <v>19</v>
      </c>
      <c r="E50">
        <f>RTD("tos.rtd", , "LAST", undervalued_stocks[[#This Row],[Symbol]])</f>
        <v>16.045000000000002</v>
      </c>
      <c r="F50" s="2">
        <f>IFERROR((undervalued_stocks[[#This Row],[Current Price]]-undervalued_stocks[[#This Row],[Avg Price]])*undervalued_stocks[[#This Row],[Total Qty]],"")</f>
        <v>-443.24999999999977</v>
      </c>
      <c r="G50" s="2" t="str">
        <f>IF(undervalued_stocks[[#This Row],[Open P&amp;L]] = "", undervalued_stocks[[#This Row],[Total C&amp;G]], "")</f>
        <v/>
      </c>
      <c r="H50" s="18">
        <f>IFERROR((undervalued_stocks[[#This Row],[Total Qty]]*undervalued_stocks[[#This Row],[Avg Price]])/$F$2,0)</f>
        <v>2.4163307074989818E-2</v>
      </c>
    </row>
    <row r="51" spans="1:8" x14ac:dyDescent="0.25">
      <c r="A51" s="31" t="s">
        <v>37</v>
      </c>
      <c r="B51">
        <v>40</v>
      </c>
      <c r="C51" s="2">
        <v>-900.8</v>
      </c>
      <c r="D51" s="2">
        <f>IFERROR(-undervalued_stocks[[#This Row],[Total C&amp;G]]/undervalued_stocks[[#This Row],[Total Qty]],"")</f>
        <v>22.52</v>
      </c>
      <c r="E51">
        <f>RTD("tos.rtd", , "LAST", undervalued_stocks[[#This Row],[Symbol]])</f>
        <v>21.41</v>
      </c>
      <c r="F51" s="2">
        <f>IFERROR((undervalued_stocks[[#This Row],[Current Price]]-undervalued_stocks[[#This Row],[Avg Price]])*undervalued_stocks[[#This Row],[Total Qty]],"")</f>
        <v>-44.399999999999977</v>
      </c>
      <c r="G51" s="2" t="str">
        <f>IF(undervalued_stocks[[#This Row],[Open P&amp;L]] = "", undervalued_stocks[[#This Row],[Total C&amp;G]], "")</f>
        <v/>
      </c>
      <c r="H51" s="18">
        <f>IFERROR((undervalued_stocks[[#This Row],[Total Qty]]*undervalued_stocks[[#This Row],[Avg Price]])/$F$2,0)</f>
        <v>7.6373007063687114E-3</v>
      </c>
    </row>
    <row r="52" spans="1:8" x14ac:dyDescent="0.25">
      <c r="A52" s="31" t="s">
        <v>57</v>
      </c>
      <c r="B52">
        <v>60</v>
      </c>
      <c r="C52" s="2">
        <v>-708</v>
      </c>
      <c r="D52" s="2">
        <f>IFERROR(-undervalued_stocks[[#This Row],[Total C&amp;G]]/undervalued_stocks[[#This Row],[Total Qty]],"")</f>
        <v>11.8</v>
      </c>
      <c r="E52">
        <f>RTD("tos.rtd", , "LAST", undervalued_stocks[[#This Row],[Symbol]])</f>
        <v>12.15</v>
      </c>
      <c r="F52" s="2">
        <f>IFERROR((undervalued_stocks[[#This Row],[Current Price]]-undervalued_stocks[[#This Row],[Avg Price]])*undervalued_stocks[[#This Row],[Total Qty]],"")</f>
        <v>20.999999999999979</v>
      </c>
      <c r="G52" s="2" t="str">
        <f>IF(undervalued_stocks[[#This Row],[Open P&amp;L]] = "", undervalued_stocks[[#This Row],[Total C&amp;G]], "")</f>
        <v/>
      </c>
      <c r="H52" s="18">
        <f>IFERROR((undervalued_stocks[[#This Row],[Total Qty]]*undervalued_stocks[[#This Row],[Avg Price]])/$F$2,0)</f>
        <v>6.0026741786290494E-3</v>
      </c>
    </row>
    <row r="53" spans="1:8" x14ac:dyDescent="0.25">
      <c r="A53" s="31" t="s">
        <v>9</v>
      </c>
      <c r="B53">
        <v>60</v>
      </c>
      <c r="C53" s="2">
        <v>-1020</v>
      </c>
      <c r="D53" s="2">
        <f>IFERROR(-undervalued_stocks[[#This Row],[Total C&amp;G]]/undervalued_stocks[[#This Row],[Total Qty]],"")</f>
        <v>17</v>
      </c>
      <c r="E53">
        <f>RTD("tos.rtd", , "LAST", undervalued_stocks[[#This Row],[Symbol]])</f>
        <v>7.19</v>
      </c>
      <c r="F53" s="2">
        <f>IFERROR((undervalued_stocks[[#This Row],[Current Price]]-undervalued_stocks[[#This Row],[Avg Price]])*undervalued_stocks[[#This Row],[Total Qty]],"")</f>
        <v>-588.59999999999991</v>
      </c>
      <c r="G53" s="2" t="str">
        <f>IF(undervalued_stocks[[#This Row],[Open P&amp;L]] = "", undervalued_stocks[[#This Row],[Total C&amp;G]], "")</f>
        <v/>
      </c>
      <c r="H53" s="18">
        <f>IFERROR((undervalued_stocks[[#This Row],[Total Qty]]*undervalued_stocks[[#This Row],[Avg Price]])/$F$2,0)</f>
        <v>8.6479204268384603E-3</v>
      </c>
    </row>
    <row r="54" spans="1:8" x14ac:dyDescent="0.25">
      <c r="A54" s="31" t="s">
        <v>59</v>
      </c>
      <c r="B54">
        <v>20</v>
      </c>
      <c r="C54" s="2">
        <v>-710</v>
      </c>
      <c r="D54" s="2">
        <f>IFERROR(-undervalued_stocks[[#This Row],[Total C&amp;G]]/undervalued_stocks[[#This Row],[Total Qty]],"")</f>
        <v>35.5</v>
      </c>
      <c r="E54">
        <f>RTD("tos.rtd", , "LAST", undervalued_stocks[[#This Row],[Symbol]])</f>
        <v>58.56</v>
      </c>
      <c r="F54" s="2">
        <f>IFERROR((undervalued_stocks[[#This Row],[Current Price]]-undervalued_stocks[[#This Row],[Avg Price]])*undervalued_stocks[[#This Row],[Total Qty]],"")</f>
        <v>461.20000000000005</v>
      </c>
      <c r="G54" s="2" t="str">
        <f>IF(undervalued_stocks[[#This Row],[Open P&amp;L]] = "", undervalued_stocks[[#This Row],[Total C&amp;G]], "")</f>
        <v/>
      </c>
      <c r="H54" s="18">
        <f>IFERROR((undervalued_stocks[[#This Row],[Total Qty]]*undervalued_stocks[[#This Row],[Avg Price]])/$F$2,0)</f>
        <v>6.0196308853483404E-3</v>
      </c>
    </row>
    <row r="55" spans="1:8" x14ac:dyDescent="0.25">
      <c r="A55" s="31" t="s">
        <v>44</v>
      </c>
      <c r="B55">
        <v>20</v>
      </c>
      <c r="C55" s="2">
        <v>-799.80000000000007</v>
      </c>
      <c r="D55" s="2">
        <f>IFERROR(-undervalued_stocks[[#This Row],[Total C&amp;G]]/undervalued_stocks[[#This Row],[Total Qty]],"")</f>
        <v>39.99</v>
      </c>
      <c r="E55">
        <f>RTD("tos.rtd", , "LAST", undervalued_stocks[[#This Row],[Symbol]])</f>
        <v>60.26</v>
      </c>
      <c r="F55" s="2">
        <f>IFERROR((undervalued_stocks[[#This Row],[Current Price]]-undervalued_stocks[[#This Row],[Avg Price]])*undervalued_stocks[[#This Row],[Total Qty]],"")</f>
        <v>405.39999999999992</v>
      </c>
      <c r="G55" s="2" t="str">
        <f>IF(undervalued_stocks[[#This Row],[Open P&amp;L]] = "", undervalued_stocks[[#This Row],[Total C&amp;G]], "")</f>
        <v/>
      </c>
      <c r="H55" s="18">
        <f>IFERROR((undervalued_stocks[[#This Row],[Total Qty]]*undervalued_stocks[[#This Row],[Avg Price]])/$F$2,0)</f>
        <v>6.7809870170445112E-3</v>
      </c>
    </row>
    <row r="56" spans="1:8" x14ac:dyDescent="0.25">
      <c r="A56" s="31" t="s">
        <v>41</v>
      </c>
      <c r="B56">
        <v>40</v>
      </c>
      <c r="C56" s="2">
        <v>-1538.6</v>
      </c>
      <c r="D56" s="2">
        <f>IFERROR(-undervalued_stocks[[#This Row],[Total C&amp;G]]/undervalued_stocks[[#This Row],[Total Qty]],"")</f>
        <v>38.464999999999996</v>
      </c>
      <c r="E56">
        <f>RTD("tos.rtd", , "LAST", undervalued_stocks[[#This Row],[Symbol]])</f>
        <v>44.15</v>
      </c>
      <c r="F56" s="2">
        <f>IFERROR((undervalued_stocks[[#This Row],[Current Price]]-undervalued_stocks[[#This Row],[Avg Price]])*undervalued_stocks[[#This Row],[Total Qty]],"")</f>
        <v>227.40000000000009</v>
      </c>
      <c r="G56" s="2" t="str">
        <f>IF(undervalued_stocks[[#This Row],[Open P&amp;L]] = "", undervalued_stocks[[#This Row],[Total C&amp;G]], "")</f>
        <v/>
      </c>
      <c r="H56" s="18">
        <f>IFERROR((undervalued_stocks[[#This Row],[Total Qty]]*undervalued_stocks[[#This Row],[Avg Price]])/$F$2,0)</f>
        <v>1.3044794479150643E-2</v>
      </c>
    </row>
    <row r="57" spans="1:8" x14ac:dyDescent="0.25">
      <c r="A57" s="31" t="s">
        <v>30</v>
      </c>
      <c r="B57">
        <v>350</v>
      </c>
      <c r="C57" s="2">
        <v>-6074.4</v>
      </c>
      <c r="D57" s="2">
        <f>IFERROR(-undervalued_stocks[[#This Row],[Total C&amp;G]]/undervalued_stocks[[#This Row],[Total Qty]],"")</f>
        <v>17.355428571428572</v>
      </c>
      <c r="E57">
        <f>RTD("tos.rtd", , "LAST", undervalued_stocks[[#This Row],[Symbol]])</f>
        <v>19.225000000000001</v>
      </c>
      <c r="F57" s="2">
        <f>IFERROR((undervalued_stocks[[#This Row],[Current Price]]-undervalued_stocks[[#This Row],[Avg Price]])*undervalued_stocks[[#This Row],[Total Qty]],"")</f>
        <v>654.35000000000036</v>
      </c>
      <c r="G57" s="2" t="str">
        <f>IF(undervalued_stocks[[#This Row],[Open P&amp;L]] = "", undervalued_stocks[[#This Row],[Total C&amp;G]], "")</f>
        <v/>
      </c>
      <c r="H57" s="18">
        <f>IFERROR((undervalued_stocks[[#This Row],[Total Qty]]*undervalued_stocks[[#This Row],[Avg Price]])/$F$2,0)</f>
        <v>5.1500909647830932E-2</v>
      </c>
    </row>
    <row r="58" spans="1:8" x14ac:dyDescent="0.25">
      <c r="A58" s="31" t="s">
        <v>63</v>
      </c>
      <c r="B58">
        <v>10</v>
      </c>
      <c r="C58" s="2">
        <v>-950.3</v>
      </c>
      <c r="D58" s="2">
        <f>IFERROR(-undervalued_stocks[[#This Row],[Total C&amp;G]]/undervalued_stocks[[#This Row],[Total Qty]],"")</f>
        <v>95.03</v>
      </c>
      <c r="E58">
        <f>RTD("tos.rtd", , "LAST", undervalued_stocks[[#This Row],[Symbol]])</f>
        <v>85.83</v>
      </c>
      <c r="F58" s="2">
        <f>IFERROR((undervalued_stocks[[#This Row],[Current Price]]-undervalued_stocks[[#This Row],[Avg Price]])*undervalued_stocks[[#This Row],[Total Qty]],"")</f>
        <v>-92.000000000000028</v>
      </c>
      <c r="G58" s="2" t="str">
        <f>IF(undervalued_stocks[[#This Row],[Open P&amp;L]] = "", undervalued_stocks[[#This Row],[Total C&amp;G]], "")</f>
        <v/>
      </c>
      <c r="H58" s="18">
        <f>IFERROR((undervalued_stocks[[#This Row],[Total Qty]]*undervalued_stocks[[#This Row],[Avg Price]])/$F$2,0)</f>
        <v>8.0569791976711665E-3</v>
      </c>
    </row>
    <row r="59" spans="1:8" x14ac:dyDescent="0.25">
      <c r="A59" s="31" t="s">
        <v>58</v>
      </c>
      <c r="B59">
        <v>30</v>
      </c>
      <c r="C59" s="2">
        <v>-1956.2000000000003</v>
      </c>
      <c r="D59" s="2">
        <f>IFERROR(-undervalued_stocks[[#This Row],[Total C&amp;G]]/undervalued_stocks[[#This Row],[Total Qty]],"")</f>
        <v>65.206666666666678</v>
      </c>
      <c r="E59">
        <f>RTD("tos.rtd", , "LAST", undervalued_stocks[[#This Row],[Symbol]])</f>
        <v>60.36</v>
      </c>
      <c r="F59" s="2">
        <f>IFERROR((undervalued_stocks[[#This Row],[Current Price]]-undervalued_stocks[[#This Row],[Avg Price]])*undervalued_stocks[[#This Row],[Total Qty]],"")</f>
        <v>-145.40000000000035</v>
      </c>
      <c r="G59" s="2" t="str">
        <f>IF(undervalued_stocks[[#This Row],[Open P&amp;L]] = "", undervalued_stocks[[#This Row],[Total C&amp;G]], "")</f>
        <v/>
      </c>
      <c r="H59" s="18">
        <f>IFERROR((undervalued_stocks[[#This Row],[Total Qty]]*undervalued_stocks[[#This Row],[Avg Price]])/$F$2,0)</f>
        <v>1.6585354842138626E-2</v>
      </c>
    </row>
    <row r="60" spans="1:8" x14ac:dyDescent="0.25">
      <c r="A60" s="31" t="s">
        <v>61</v>
      </c>
      <c r="B60">
        <v>140</v>
      </c>
      <c r="C60" s="2">
        <v>-959</v>
      </c>
      <c r="D60" s="2">
        <f>IFERROR(-undervalued_stocks[[#This Row],[Total C&amp;G]]/undervalued_stocks[[#This Row],[Total Qty]],"")</f>
        <v>6.85</v>
      </c>
      <c r="E60">
        <f>RTD("tos.rtd", , "LAST", undervalued_stocks[[#This Row],[Symbol]])</f>
        <v>6.32</v>
      </c>
      <c r="F60" s="2">
        <f>IFERROR((undervalued_stocks[[#This Row],[Current Price]]-undervalued_stocks[[#This Row],[Avg Price]])*undervalued_stocks[[#This Row],[Total Qty]],"")</f>
        <v>-74.199999999999903</v>
      </c>
      <c r="G60" s="2" t="str">
        <f>IF(undervalued_stocks[[#This Row],[Open P&amp;L]] = "", undervalued_stocks[[#This Row],[Total C&amp;G]], "")</f>
        <v/>
      </c>
      <c r="H60" s="18">
        <f>IFERROR((undervalued_stocks[[#This Row],[Total Qty]]*undervalued_stocks[[#This Row],[Avg Price]])/$F$2,0)</f>
        <v>8.1307408719000825E-3</v>
      </c>
    </row>
    <row r="61" spans="1:8" x14ac:dyDescent="0.25">
      <c r="A61" s="31" t="s">
        <v>33</v>
      </c>
      <c r="B61">
        <v>10</v>
      </c>
      <c r="C61" s="2">
        <v>-580</v>
      </c>
      <c r="D61" s="2">
        <f>IFERROR(-undervalued_stocks[[#This Row],[Total C&amp;G]]/undervalued_stocks[[#This Row],[Total Qty]],"")</f>
        <v>58</v>
      </c>
      <c r="E61">
        <f>RTD("tos.rtd", , "LAST", undervalued_stocks[[#This Row],[Symbol]])</f>
        <v>64.465000000000003</v>
      </c>
      <c r="F61" s="2">
        <f>IFERROR((undervalued_stocks[[#This Row],[Current Price]]-undervalued_stocks[[#This Row],[Avg Price]])*undervalued_stocks[[#This Row],[Total Qty]],"")</f>
        <v>64.650000000000034</v>
      </c>
      <c r="G61" s="2" t="str">
        <f>IF(undervalued_stocks[[#This Row],[Open P&amp;L]] = "", undervalued_stocks[[#This Row],[Total C&amp;G]], "")</f>
        <v/>
      </c>
      <c r="H61" s="18">
        <f>IFERROR((undervalued_stocks[[#This Row],[Total Qty]]*undervalued_stocks[[#This Row],[Avg Price]])/$F$2,0)</f>
        <v>4.9174449485944191E-3</v>
      </c>
    </row>
    <row r="62" spans="1:8" x14ac:dyDescent="0.25">
      <c r="A62" s="31" t="s">
        <v>43</v>
      </c>
      <c r="B62">
        <v>10</v>
      </c>
      <c r="C62" s="2">
        <v>-590</v>
      </c>
      <c r="D62" s="2">
        <f>IFERROR(-undervalued_stocks[[#This Row],[Total C&amp;G]]/undervalued_stocks[[#This Row],[Total Qty]],"")</f>
        <v>59</v>
      </c>
      <c r="E62">
        <f>RTD("tos.rtd", , "LAST", undervalued_stocks[[#This Row],[Symbol]])</f>
        <v>62.24</v>
      </c>
      <c r="F62" s="2">
        <f>IFERROR((undervalued_stocks[[#This Row],[Current Price]]-undervalued_stocks[[#This Row],[Avg Price]])*undervalued_stocks[[#This Row],[Total Qty]],"")</f>
        <v>32.40000000000002</v>
      </c>
      <c r="G62" s="2" t="str">
        <f>IF(undervalued_stocks[[#This Row],[Open P&amp;L]] = "", undervalued_stocks[[#This Row],[Total C&amp;G]], "")</f>
        <v/>
      </c>
      <c r="H62" s="18">
        <f>IFERROR((undervalued_stocks[[#This Row],[Total Qty]]*undervalued_stocks[[#This Row],[Avg Price]])/$F$2,0)</f>
        <v>5.002228482190875E-3</v>
      </c>
    </row>
    <row r="63" spans="1:8" x14ac:dyDescent="0.25">
      <c r="A63" s="31" t="s">
        <v>65</v>
      </c>
      <c r="B63">
        <v>60</v>
      </c>
      <c r="C63" s="2">
        <v>-1973.1000000000001</v>
      </c>
      <c r="D63" s="2">
        <f>IFERROR(-undervalued_stocks[[#This Row],[Total C&amp;G]]/undervalued_stocks[[#This Row],[Total Qty]],"")</f>
        <v>32.885000000000005</v>
      </c>
      <c r="E63">
        <f>RTD("tos.rtd", , "LAST", undervalued_stocks[[#This Row],[Symbol]])</f>
        <v>28.76</v>
      </c>
      <c r="F63" s="2">
        <f>IFERROR((undervalued_stocks[[#This Row],[Current Price]]-undervalued_stocks[[#This Row],[Avg Price]])*undervalued_stocks[[#This Row],[Total Qty]],"")</f>
        <v>-247.50000000000023</v>
      </c>
      <c r="G63" s="2" t="str">
        <f>IF(undervalued_stocks[[#This Row],[Open P&amp;L]] = "", undervalued_stocks[[#This Row],[Total C&amp;G]], "")</f>
        <v/>
      </c>
      <c r="H63" s="18">
        <f>IFERROR((undervalued_stocks[[#This Row],[Total Qty]]*undervalued_stocks[[#This Row],[Avg Price]])/$F$2,0)</f>
        <v>1.6728639013916639E-2</v>
      </c>
    </row>
    <row r="64" spans="1:8" x14ac:dyDescent="0.25">
      <c r="A64" s="31" t="s">
        <v>49</v>
      </c>
      <c r="B64">
        <v>190</v>
      </c>
      <c r="C64" s="2">
        <v>-2805.4</v>
      </c>
      <c r="D64" s="2">
        <f>IFERROR(-undervalued_stocks[[#This Row],[Total C&amp;G]]/undervalued_stocks[[#This Row],[Total Qty]],"")</f>
        <v>14.765263157894738</v>
      </c>
      <c r="E64">
        <f>RTD("tos.rtd", , "LAST", undervalued_stocks[[#This Row],[Symbol]])</f>
        <v>18.707100000000001</v>
      </c>
      <c r="F64" s="2">
        <f>IFERROR((undervalued_stocks[[#This Row],[Current Price]]-undervalued_stocks[[#This Row],[Avg Price]])*undervalued_stocks[[#This Row],[Total Qty]],"")</f>
        <v>748.94899999999984</v>
      </c>
      <c r="G64" s="2" t="str">
        <f>IF(undervalued_stocks[[#This Row],[Open P&amp;L]] = "", undervalued_stocks[[#This Row],[Total C&amp;G]], "")</f>
        <v/>
      </c>
      <c r="H64" s="18">
        <f>IFERROR((undervalued_stocks[[#This Row],[Total Qty]]*undervalued_stocks[[#This Row],[Avg Price]])/$F$2,0)</f>
        <v>2.3785172515149628E-2</v>
      </c>
    </row>
    <row r="65" spans="1:8" x14ac:dyDescent="0.25">
      <c r="A65" s="31" t="s">
        <v>47</v>
      </c>
      <c r="B65">
        <v>1070</v>
      </c>
      <c r="C65" s="2">
        <v>-2979.44</v>
      </c>
      <c r="D65" s="2">
        <f>IFERROR(-undervalued_stocks[[#This Row],[Total C&amp;G]]/undervalued_stocks[[#This Row],[Total Qty]],"")</f>
        <v>2.7845233644859815</v>
      </c>
      <c r="E65">
        <f>RTD("tos.rtd", , "LAST", undervalued_stocks[[#This Row],[Symbol]])</f>
        <v>2.6949999999999998</v>
      </c>
      <c r="F65" s="2">
        <f>IFERROR((undervalued_stocks[[#This Row],[Current Price]]-undervalued_stocks[[#This Row],[Avg Price]])*undervalued_stocks[[#This Row],[Total Qty]],"")</f>
        <v>-95.790000000000347</v>
      </c>
      <c r="G65" s="2" t="str">
        <f>IF(undervalued_stocks[[#This Row],[Open P&amp;L]] = "", undervalued_stocks[[#This Row],[Total C&amp;G]], "")</f>
        <v/>
      </c>
      <c r="H65" s="18">
        <f>IFERROR((undervalued_stocks[[#This Row],[Total Qty]]*undervalued_stocks[[#This Row],[Avg Price]])/$F$2,0)</f>
        <v>2.5260745133862339E-2</v>
      </c>
    </row>
    <row r="66" spans="1:8" x14ac:dyDescent="0.25">
      <c r="A66" s="31" t="s">
        <v>6</v>
      </c>
      <c r="B66">
        <v>260</v>
      </c>
      <c r="C66" s="2">
        <v>-2798.5</v>
      </c>
      <c r="D66" s="2">
        <f>IFERROR(-undervalued_stocks[[#This Row],[Total C&amp;G]]/undervalued_stocks[[#This Row],[Total Qty]],"")</f>
        <v>10.763461538461538</v>
      </c>
      <c r="E66">
        <f>RTD("tos.rtd", , "LAST", undervalued_stocks[[#This Row],[Symbol]])</f>
        <v>7.2549999999999999</v>
      </c>
      <c r="F66" s="2">
        <f>IFERROR((undervalued_stocks[[#This Row],[Current Price]]-undervalued_stocks[[#This Row],[Avg Price]])*undervalued_stocks[[#This Row],[Total Qty]],"")</f>
        <v>-912.19999999999993</v>
      </c>
      <c r="G66" s="2" t="str">
        <f>IF(undervalued_stocks[[#This Row],[Open P&amp;L]] = "", undervalued_stocks[[#This Row],[Total C&amp;G]], "")</f>
        <v/>
      </c>
      <c r="H66" s="18">
        <f>IFERROR((undervalued_stocks[[#This Row],[Total Qty]]*undervalued_stocks[[#This Row],[Avg Price]])/$F$2,0)</f>
        <v>2.3726671876968072E-2</v>
      </c>
    </row>
    <row r="67" spans="1:8" x14ac:dyDescent="0.25">
      <c r="A67" s="31" t="s">
        <v>16</v>
      </c>
      <c r="B67">
        <v>200</v>
      </c>
      <c r="C67" s="2">
        <v>-800</v>
      </c>
      <c r="D67" s="2">
        <f>IFERROR(-undervalued_stocks[[#This Row],[Total C&amp;G]]/undervalued_stocks[[#This Row],[Total Qty]],"")</f>
        <v>4</v>
      </c>
      <c r="E67">
        <f>RTD("tos.rtd", , "LAST", undervalued_stocks[[#This Row],[Symbol]])</f>
        <v>6.9649999999999999</v>
      </c>
      <c r="F67" s="2">
        <f>IFERROR((undervalued_stocks[[#This Row],[Current Price]]-undervalued_stocks[[#This Row],[Avg Price]])*undervalued_stocks[[#This Row],[Total Qty]],"")</f>
        <v>593</v>
      </c>
      <c r="G67" s="2" t="str">
        <f>IF(undervalued_stocks[[#This Row],[Open P&amp;L]] = "", undervalued_stocks[[#This Row],[Total C&amp;G]], "")</f>
        <v/>
      </c>
      <c r="H67" s="18">
        <f>IFERROR((undervalued_stocks[[#This Row],[Total Qty]]*undervalued_stocks[[#This Row],[Avg Price]])/$F$2,0)</f>
        <v>6.7826826877164402E-3</v>
      </c>
    </row>
    <row r="68" spans="1:8" x14ac:dyDescent="0.25">
      <c r="A68" s="31" t="s">
        <v>5</v>
      </c>
      <c r="B68">
        <v>30</v>
      </c>
      <c r="C68" s="2">
        <v>-225</v>
      </c>
      <c r="D68" s="2">
        <f>IFERROR(-undervalued_stocks[[#This Row],[Total C&amp;G]]/undervalued_stocks[[#This Row],[Total Qty]],"")</f>
        <v>7.5</v>
      </c>
      <c r="E68">
        <f>RTD("tos.rtd", , "LAST", undervalued_stocks[[#This Row],[Symbol]])</f>
        <v>4.59</v>
      </c>
      <c r="F68" s="2">
        <f>IFERROR((undervalued_stocks[[#This Row],[Current Price]]-undervalued_stocks[[#This Row],[Avg Price]])*undervalued_stocks[[#This Row],[Total Qty]],"")</f>
        <v>-87.300000000000011</v>
      </c>
      <c r="G68" s="2" t="str">
        <f>IF(undervalued_stocks[[#This Row],[Open P&amp;L]] = "", undervalued_stocks[[#This Row],[Total C&amp;G]], "")</f>
        <v/>
      </c>
      <c r="H68" s="18">
        <f>IFERROR((undervalued_stocks[[#This Row],[Total Qty]]*undervalued_stocks[[#This Row],[Avg Price]])/$F$2,0)</f>
        <v>1.9076295059202487E-3</v>
      </c>
    </row>
    <row r="69" spans="1:8" x14ac:dyDescent="0.25">
      <c r="A69" s="31" t="s">
        <v>62</v>
      </c>
      <c r="B69">
        <v>40</v>
      </c>
      <c r="C69" s="2">
        <v>-1744.2</v>
      </c>
      <c r="D69" s="2">
        <f>IFERROR(-undervalued_stocks[[#This Row],[Total C&amp;G]]/undervalued_stocks[[#This Row],[Total Qty]],"")</f>
        <v>43.605000000000004</v>
      </c>
      <c r="E69">
        <f>RTD("tos.rtd", , "LAST", undervalued_stocks[[#This Row],[Symbol]])</f>
        <v>47.95</v>
      </c>
      <c r="F69" s="2">
        <f>IFERROR((undervalued_stocks[[#This Row],[Current Price]]-undervalued_stocks[[#This Row],[Avg Price]])*undervalued_stocks[[#This Row],[Total Qty]],"")</f>
        <v>173.79999999999995</v>
      </c>
      <c r="G69" s="2" t="str">
        <f>IF(undervalued_stocks[[#This Row],[Open P&amp;L]] = "", undervalued_stocks[[#This Row],[Total C&amp;G]], "")</f>
        <v/>
      </c>
      <c r="H69" s="18">
        <f>IFERROR((undervalued_stocks[[#This Row],[Total Qty]]*undervalued_stocks[[#This Row],[Avg Price]])/$F$2,0)</f>
        <v>1.4787943929893771E-2</v>
      </c>
    </row>
    <row r="70" spans="1:8" x14ac:dyDescent="0.25">
      <c r="A70" s="31" t="s">
        <v>50</v>
      </c>
      <c r="B70">
        <v>30</v>
      </c>
      <c r="C70" s="2">
        <v>-2381.1999999999998</v>
      </c>
      <c r="D70" s="2">
        <f>IFERROR(-undervalued_stocks[[#This Row],[Total C&amp;G]]/undervalued_stocks[[#This Row],[Total Qty]],"")</f>
        <v>79.373333333333321</v>
      </c>
      <c r="E70">
        <f>RTD("tos.rtd", , "LAST", undervalued_stocks[[#This Row],[Symbol]])</f>
        <v>79.739999999999995</v>
      </c>
      <c r="F70" s="2">
        <f>IFERROR((undervalued_stocks[[#This Row],[Current Price]]-undervalued_stocks[[#This Row],[Avg Price]])*undervalued_stocks[[#This Row],[Total Qty]],"")</f>
        <v>11.000000000000227</v>
      </c>
      <c r="G70" s="2" t="str">
        <f>IF(undervalued_stocks[[#This Row],[Open P&amp;L]] = "", undervalued_stocks[[#This Row],[Total C&amp;G]], "")</f>
        <v/>
      </c>
      <c r="H70" s="18">
        <f>IFERROR((undervalued_stocks[[#This Row],[Total Qty]]*undervalued_stocks[[#This Row],[Avg Price]])/$F$2,0)</f>
        <v>2.0188655019987983E-2</v>
      </c>
    </row>
  </sheetData>
  <mergeCells count="2">
    <mergeCell ref="A2:B2"/>
    <mergeCell ref="A1:B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594A-FF22-4BA6-9F80-21FE21720BD9}">
  <dimension ref="A1:H66"/>
  <sheetViews>
    <sheetView zoomScale="120" zoomScaleNormal="120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20" bestFit="1" customWidth="1"/>
    <col min="4" max="4" width="11.42578125" bestFit="1" customWidth="1"/>
    <col min="5" max="5" width="15.5703125" bestFit="1" customWidth="1"/>
    <col min="6" max="6" width="12" bestFit="1" customWidth="1"/>
    <col min="7" max="7" width="14.85546875" customWidth="1"/>
    <col min="8" max="8" width="9.7109375" bestFit="1" customWidth="1"/>
    <col min="9" max="9" width="7" bestFit="1" customWidth="1"/>
    <col min="10" max="10" width="17.28515625" bestFit="1" customWidth="1"/>
    <col min="11" max="11" width="11.28515625" bestFit="1" customWidth="1"/>
    <col min="12" max="12" width="20" bestFit="1" customWidth="1"/>
    <col min="13" max="13" width="15.42578125" customWidth="1"/>
    <col min="14" max="14" width="15.28515625" customWidth="1"/>
    <col min="15" max="15" width="6.42578125" bestFit="1" customWidth="1"/>
    <col min="16" max="16" width="15.5703125" bestFit="1" customWidth="1"/>
    <col min="17" max="17" width="11" bestFit="1" customWidth="1"/>
    <col min="18" max="19" width="3.28515625" bestFit="1" customWidth="1"/>
    <col min="20" max="20" width="9.28515625" bestFit="1" customWidth="1"/>
    <col min="21" max="21" width="6.5703125" bestFit="1" customWidth="1"/>
    <col min="22" max="22" width="3.28515625" bestFit="1" customWidth="1"/>
    <col min="23" max="23" width="12" bestFit="1" customWidth="1"/>
    <col min="24" max="24" width="6.5703125" bestFit="1" customWidth="1"/>
    <col min="25" max="26" width="6.42578125" bestFit="1" customWidth="1"/>
    <col min="27" max="27" width="3.28515625" bestFit="1" customWidth="1"/>
    <col min="28" max="28" width="6.42578125" bestFit="1" customWidth="1"/>
    <col min="29" max="29" width="3.28515625" bestFit="1" customWidth="1"/>
    <col min="30" max="30" width="6.42578125" bestFit="1" customWidth="1"/>
    <col min="31" max="31" width="5.42578125" bestFit="1" customWidth="1"/>
    <col min="32" max="32" width="3.28515625" bestFit="1" customWidth="1"/>
    <col min="33" max="35" width="6.42578125" bestFit="1" customWidth="1"/>
    <col min="36" max="36" width="3.28515625" bestFit="1" customWidth="1"/>
    <col min="37" max="37" width="6.42578125" bestFit="1" customWidth="1"/>
    <col min="38" max="39" width="3.28515625" bestFit="1" customWidth="1"/>
    <col min="40" max="41" width="5.42578125" bestFit="1" customWidth="1"/>
    <col min="42" max="42" width="3.28515625" bestFit="1" customWidth="1"/>
    <col min="43" max="44" width="6.42578125" bestFit="1" customWidth="1"/>
    <col min="45" max="45" width="4.28515625" bestFit="1" customWidth="1"/>
    <col min="46" max="46" width="6.42578125" bestFit="1" customWidth="1"/>
    <col min="47" max="47" width="5.42578125" bestFit="1" customWidth="1"/>
    <col min="48" max="49" width="6.42578125" bestFit="1" customWidth="1"/>
    <col min="50" max="50" width="5.42578125" bestFit="1" customWidth="1"/>
    <col min="51" max="51" width="6.42578125" bestFit="1" customWidth="1"/>
    <col min="52" max="52" width="5.42578125" bestFit="1" customWidth="1"/>
    <col min="53" max="53" width="4.28515625" bestFit="1" customWidth="1"/>
    <col min="54" max="54" width="6.42578125" bestFit="1" customWidth="1"/>
    <col min="55" max="55" width="5.42578125" bestFit="1" customWidth="1"/>
    <col min="56" max="56" width="6.42578125" bestFit="1" customWidth="1"/>
    <col min="57" max="57" width="3.28515625" bestFit="1" customWidth="1"/>
    <col min="58" max="59" width="6.42578125" bestFit="1" customWidth="1"/>
    <col min="60" max="60" width="5.42578125" bestFit="1" customWidth="1"/>
    <col min="61" max="61" width="6.42578125" bestFit="1" customWidth="1"/>
    <col min="62" max="62" width="3.28515625" bestFit="1" customWidth="1"/>
    <col min="63" max="65" width="6.42578125" bestFit="1" customWidth="1"/>
    <col min="66" max="66" width="4.28515625" bestFit="1" customWidth="1"/>
    <col min="67" max="67" width="6.42578125" bestFit="1" customWidth="1"/>
    <col min="68" max="68" width="5.42578125" bestFit="1" customWidth="1"/>
    <col min="69" max="71" width="6.42578125" bestFit="1" customWidth="1"/>
    <col min="72" max="72" width="4.28515625" bestFit="1" customWidth="1"/>
    <col min="73" max="75" width="6.42578125" bestFit="1" customWidth="1"/>
    <col min="76" max="77" width="5.42578125" bestFit="1" customWidth="1"/>
    <col min="78" max="78" width="4.28515625" bestFit="1" customWidth="1"/>
    <col min="79" max="79" width="6.42578125" bestFit="1" customWidth="1"/>
    <col min="80" max="80" width="4.28515625" bestFit="1" customWidth="1"/>
    <col min="81" max="85" width="6.42578125" bestFit="1" customWidth="1"/>
    <col min="86" max="86" width="5.42578125" bestFit="1" customWidth="1"/>
    <col min="87" max="87" width="6.42578125" bestFit="1" customWidth="1"/>
    <col min="88" max="88" width="7.5703125" bestFit="1" customWidth="1"/>
    <col min="89" max="90" width="5.42578125" bestFit="1" customWidth="1"/>
    <col min="91" max="94" width="6.42578125" bestFit="1" customWidth="1"/>
    <col min="95" max="96" width="3.28515625" bestFit="1" customWidth="1"/>
    <col min="97" max="97" width="6.42578125" bestFit="1" customWidth="1"/>
    <col min="98" max="98" width="7.5703125" bestFit="1" customWidth="1"/>
    <col min="99" max="100" width="6.42578125" bestFit="1" customWidth="1"/>
    <col min="101" max="102" width="5.42578125" bestFit="1" customWidth="1"/>
    <col min="103" max="103" width="7.5703125" bestFit="1" customWidth="1"/>
    <col min="104" max="104" width="4.28515625" bestFit="1" customWidth="1"/>
    <col min="105" max="105" width="7.5703125" bestFit="1" customWidth="1"/>
    <col min="106" max="106" width="9.7109375" bestFit="1" customWidth="1"/>
    <col min="107" max="107" width="7.5703125" bestFit="1" customWidth="1"/>
    <col min="108" max="108" width="6.42578125" bestFit="1" customWidth="1"/>
    <col min="109" max="110" width="7.5703125" bestFit="1" customWidth="1"/>
    <col min="111" max="111" width="8.5703125" bestFit="1" customWidth="1"/>
    <col min="112" max="112" width="4.28515625" bestFit="1" customWidth="1"/>
    <col min="113" max="114" width="7.5703125" bestFit="1" customWidth="1"/>
    <col min="115" max="115" width="6.42578125" bestFit="1" customWidth="1"/>
    <col min="116" max="116" width="4.28515625" bestFit="1" customWidth="1"/>
    <col min="117" max="118" width="6.42578125" bestFit="1" customWidth="1"/>
    <col min="119" max="119" width="7.5703125" bestFit="1" customWidth="1"/>
    <col min="120" max="120" width="4.28515625" bestFit="1" customWidth="1"/>
    <col min="121" max="122" width="7.5703125" bestFit="1" customWidth="1"/>
    <col min="123" max="124" width="6.42578125" bestFit="1" customWidth="1"/>
    <col min="125" max="126" width="7.5703125" bestFit="1" customWidth="1"/>
    <col min="127" max="127" width="11.85546875" bestFit="1" customWidth="1"/>
  </cols>
  <sheetData>
    <row r="1" spans="1:8" s="8" customFormat="1" x14ac:dyDescent="0.25">
      <c r="A1" s="8" t="s">
        <v>76</v>
      </c>
      <c r="B1" s="8" t="s">
        <v>77</v>
      </c>
      <c r="C1" s="9" t="s">
        <v>83</v>
      </c>
      <c r="D1"/>
      <c r="E1"/>
      <c r="F1"/>
      <c r="G1"/>
      <c r="H1"/>
    </row>
    <row r="2" spans="1:8" x14ac:dyDescent="0.25">
      <c r="A2" s="21">
        <v>45566</v>
      </c>
      <c r="B2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2" s="2">
        <f>SUM($B$2:monthly_pl8[[#This Row],[Gross P&amp;L]])</f>
        <v>0</v>
      </c>
      <c r="D2" s="2"/>
      <c r="F2" s="2"/>
      <c r="G2" s="2"/>
      <c r="H2" s="18"/>
    </row>
    <row r="3" spans="1:8" x14ac:dyDescent="0.25">
      <c r="A3" s="21">
        <v>45597</v>
      </c>
      <c r="B3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3" s="2">
        <f>SUM($B$2:monthly_pl8[[#This Row],[Gross P&amp;L]])</f>
        <v>0</v>
      </c>
      <c r="D3" s="2"/>
      <c r="F3" s="2"/>
      <c r="G3" s="2"/>
      <c r="H3" s="18"/>
    </row>
    <row r="4" spans="1:8" x14ac:dyDescent="0.25">
      <c r="A4" s="21">
        <v>45627</v>
      </c>
      <c r="B4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435.23199999999997</v>
      </c>
      <c r="C4" s="2">
        <f>SUM($B$2:monthly_pl8[[#This Row],[Gross P&amp;L]])</f>
        <v>435.23199999999997</v>
      </c>
      <c r="D4" s="2"/>
      <c r="F4" s="2"/>
      <c r="G4" s="2"/>
      <c r="H4" s="18"/>
    </row>
    <row r="5" spans="1:8" x14ac:dyDescent="0.25">
      <c r="A5" s="21">
        <v>45658</v>
      </c>
      <c r="B5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5" s="2">
        <f>SUM($B$2:monthly_pl8[[#This Row],[Gross P&amp;L]])</f>
        <v>435.23199999999997</v>
      </c>
      <c r="D5" s="2"/>
      <c r="F5" s="2"/>
      <c r="G5" s="2"/>
      <c r="H5" s="18"/>
    </row>
    <row r="6" spans="1:8" x14ac:dyDescent="0.25">
      <c r="A6" s="21">
        <v>45689</v>
      </c>
      <c r="B6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6" s="2">
        <f>SUM($B$2:monthly_pl8[[#This Row],[Gross P&amp;L]])</f>
        <v>435.23199999999997</v>
      </c>
      <c r="D6" s="2"/>
      <c r="F6" s="2"/>
      <c r="G6" s="2"/>
      <c r="H6" s="18"/>
    </row>
    <row r="7" spans="1:8" x14ac:dyDescent="0.25">
      <c r="A7" s="21">
        <v>45717</v>
      </c>
      <c r="B7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7" s="2">
        <f>SUM($B$2:monthly_pl8[[#This Row],[Gross P&amp;L]])</f>
        <v>435.23199999999997</v>
      </c>
      <c r="D7" s="2"/>
      <c r="F7" s="2"/>
      <c r="G7" s="2"/>
      <c r="H7" s="18"/>
    </row>
    <row r="8" spans="1:8" x14ac:dyDescent="0.25">
      <c r="A8" s="21">
        <v>45748</v>
      </c>
      <c r="B8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8" s="2">
        <f>SUM($B$2:monthly_pl8[[#This Row],[Gross P&amp;L]])</f>
        <v>435.23199999999997</v>
      </c>
      <c r="D8" s="2"/>
      <c r="F8" s="2"/>
      <c r="G8" s="2"/>
      <c r="H8" s="18"/>
    </row>
    <row r="9" spans="1:8" x14ac:dyDescent="0.25">
      <c r="A9" s="21">
        <v>45778</v>
      </c>
      <c r="B9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9" s="2">
        <f>SUM($B$2:monthly_pl8[[#This Row],[Gross P&amp;L]])</f>
        <v>435.23199999999997</v>
      </c>
      <c r="D9" s="2"/>
      <c r="F9" s="2"/>
      <c r="G9" s="2"/>
      <c r="H9" s="18"/>
    </row>
    <row r="10" spans="1:8" x14ac:dyDescent="0.25">
      <c r="A10" s="21">
        <v>45809</v>
      </c>
      <c r="B10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0" s="2">
        <f>SUM($B$2:monthly_pl8[[#This Row],[Gross P&amp;L]])</f>
        <v>435.23199999999997</v>
      </c>
      <c r="D10" s="2"/>
      <c r="F10" s="2"/>
      <c r="G10" s="2"/>
      <c r="H10" s="18"/>
    </row>
    <row r="11" spans="1:8" x14ac:dyDescent="0.25">
      <c r="A11" s="21">
        <v>45839</v>
      </c>
      <c r="B11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1" s="2">
        <f>SUM($B$2:monthly_pl8[[#This Row],[Gross P&amp;L]])</f>
        <v>435.23199999999997</v>
      </c>
      <c r="D11" s="2"/>
      <c r="F11" s="2"/>
      <c r="G11" s="2"/>
      <c r="H11" s="18"/>
    </row>
    <row r="12" spans="1:8" x14ac:dyDescent="0.25">
      <c r="A12" s="21">
        <v>45870</v>
      </c>
      <c r="B12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2" s="2">
        <f>SUM($B$2:monthly_pl8[[#This Row],[Gross P&amp;L]])</f>
        <v>435.23199999999997</v>
      </c>
      <c r="D12" s="2"/>
      <c r="F12" s="2"/>
      <c r="G12" s="2"/>
      <c r="H12" s="18"/>
    </row>
    <row r="13" spans="1:8" x14ac:dyDescent="0.25">
      <c r="A13" s="21">
        <v>45901</v>
      </c>
      <c r="B13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3" s="2">
        <f>SUM($B$2:monthly_pl8[[#This Row],[Gross P&amp;L]])</f>
        <v>435.23199999999997</v>
      </c>
      <c r="D13" s="2"/>
      <c r="F13" s="2"/>
      <c r="G13" s="2"/>
      <c r="H13" s="18"/>
    </row>
    <row r="14" spans="1:8" x14ac:dyDescent="0.25">
      <c r="A14" s="21">
        <v>45931</v>
      </c>
      <c r="B14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1002</v>
      </c>
      <c r="C14" s="2">
        <f>SUM($B$2:monthly_pl8[[#This Row],[Gross P&amp;L]])</f>
        <v>1437.232</v>
      </c>
      <c r="D14" s="2"/>
      <c r="F14" s="2"/>
      <c r="G14" s="2"/>
      <c r="H14" s="18"/>
    </row>
    <row r="15" spans="1:8" x14ac:dyDescent="0.25">
      <c r="A15" s="21">
        <v>45962</v>
      </c>
      <c r="B15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5" s="2">
        <f>SUM($B$2:monthly_pl8[[#This Row],[Gross P&amp;L]])</f>
        <v>1437.232</v>
      </c>
      <c r="D15" s="2"/>
      <c r="F15" s="2"/>
      <c r="G15" s="2"/>
      <c r="H15" s="18"/>
    </row>
    <row r="16" spans="1:8" x14ac:dyDescent="0.25">
      <c r="A16" s="21">
        <v>45992</v>
      </c>
      <c r="B16" s="2">
        <f>SUMIFS(undervalued_trades[Realized  P&amp;L], undervalued_trades[Exec Time], "&gt;="&amp;monthly_pl8[[#This Row],[Month]], undervalued_trades[Exec Time], "&lt;="&amp;EOMONTH(monthly_pl8[[#This Row],[Month]],0), undervalued_trades[Open P&amp;L], "")</f>
        <v>0</v>
      </c>
      <c r="C16" s="2">
        <f>SUM($B$2:monthly_pl8[[#This Row],[Gross P&amp;L]])</f>
        <v>1437.232</v>
      </c>
      <c r="D16" s="2"/>
      <c r="F16" s="2"/>
      <c r="G16" s="2"/>
      <c r="H16" s="18"/>
    </row>
    <row r="17" spans="1:8" x14ac:dyDescent="0.25">
      <c r="A17" s="5" t="s">
        <v>78</v>
      </c>
      <c r="B17" s="2">
        <f>SUBTOTAL(109,monthly_pl8[Gross P&amp;L])</f>
        <v>1437.232</v>
      </c>
      <c r="C17" s="2"/>
      <c r="D17" s="2"/>
      <c r="F17" s="2"/>
      <c r="G17" s="2"/>
      <c r="H17" s="18"/>
    </row>
    <row r="18" spans="1:8" x14ac:dyDescent="0.25">
      <c r="C18" s="2"/>
      <c r="D18" s="2"/>
      <c r="F18" s="2"/>
      <c r="G18" s="2"/>
      <c r="H18" s="18"/>
    </row>
    <row r="19" spans="1:8" x14ac:dyDescent="0.25">
      <c r="C19" s="2"/>
      <c r="D19" s="2"/>
      <c r="F19" s="2"/>
      <c r="G19" s="2"/>
      <c r="H19" s="18"/>
    </row>
    <row r="20" spans="1:8" x14ac:dyDescent="0.25">
      <c r="C20" s="2"/>
      <c r="D20" s="2"/>
      <c r="F20" s="2"/>
      <c r="G20" s="2"/>
      <c r="H20" s="18"/>
    </row>
    <row r="21" spans="1:8" x14ac:dyDescent="0.25">
      <c r="C21" s="2"/>
      <c r="D21" s="2"/>
      <c r="F21" s="2"/>
      <c r="G21" s="2"/>
      <c r="H21" s="18"/>
    </row>
    <row r="22" spans="1:8" x14ac:dyDescent="0.25">
      <c r="C22" s="2"/>
      <c r="D22" s="2"/>
      <c r="F22" s="2"/>
      <c r="G22" s="2"/>
      <c r="H22" s="18"/>
    </row>
    <row r="23" spans="1:8" x14ac:dyDescent="0.25">
      <c r="C23" s="2"/>
      <c r="D23" s="2"/>
      <c r="F23" s="2"/>
      <c r="G23" s="2"/>
      <c r="H23" s="18"/>
    </row>
    <row r="24" spans="1:8" x14ac:dyDescent="0.25">
      <c r="C24" s="2"/>
      <c r="D24" s="2"/>
      <c r="F24" s="2"/>
      <c r="G24" s="2"/>
      <c r="H24" s="18"/>
    </row>
    <row r="25" spans="1:8" x14ac:dyDescent="0.25">
      <c r="C25" s="2"/>
      <c r="D25" s="2"/>
      <c r="F25" s="2"/>
      <c r="G25" s="2"/>
      <c r="H25" s="18"/>
    </row>
    <row r="26" spans="1:8" x14ac:dyDescent="0.25">
      <c r="C26" s="2"/>
      <c r="D26" s="2"/>
      <c r="F26" s="2"/>
      <c r="G26" s="2"/>
      <c r="H26" s="18"/>
    </row>
    <row r="27" spans="1:8" x14ac:dyDescent="0.25">
      <c r="C27" s="2"/>
      <c r="D27" s="2"/>
      <c r="F27" s="2"/>
      <c r="G27" s="2"/>
      <c r="H27" s="18"/>
    </row>
    <row r="28" spans="1:8" x14ac:dyDescent="0.25">
      <c r="C28" s="2"/>
      <c r="D28" s="2"/>
      <c r="F28" s="2"/>
      <c r="G28" s="2"/>
      <c r="H28" s="18"/>
    </row>
    <row r="29" spans="1:8" x14ac:dyDescent="0.25">
      <c r="C29" s="2"/>
      <c r="D29" s="2"/>
      <c r="F29" s="2"/>
      <c r="G29" s="2"/>
      <c r="H29" s="18"/>
    </row>
    <row r="30" spans="1:8" x14ac:dyDescent="0.25">
      <c r="C30" s="2"/>
      <c r="D30" s="2"/>
      <c r="F30" s="2"/>
      <c r="G30" s="2"/>
      <c r="H30" s="18"/>
    </row>
    <row r="31" spans="1:8" x14ac:dyDescent="0.25">
      <c r="C31" s="2"/>
      <c r="D31" s="2"/>
      <c r="F31" s="2"/>
      <c r="G31" s="2"/>
      <c r="H31" s="18"/>
    </row>
    <row r="32" spans="1:8" x14ac:dyDescent="0.25">
      <c r="C32" s="2"/>
      <c r="D32" s="2"/>
      <c r="F32" s="2"/>
      <c r="G32" s="2"/>
      <c r="H32" s="18"/>
    </row>
    <row r="33" spans="3:8" x14ac:dyDescent="0.25">
      <c r="C33" s="2"/>
      <c r="D33" s="2"/>
      <c r="F33" s="2"/>
      <c r="G33" s="2"/>
      <c r="H33" s="18"/>
    </row>
    <row r="34" spans="3:8" x14ac:dyDescent="0.25">
      <c r="C34" s="2"/>
      <c r="D34" s="2"/>
      <c r="F34" s="2"/>
      <c r="G34" s="2"/>
      <c r="H34" s="18"/>
    </row>
    <row r="35" spans="3:8" x14ac:dyDescent="0.25">
      <c r="C35" s="2"/>
      <c r="D35" s="2"/>
      <c r="F35" s="2"/>
      <c r="G35" s="2"/>
      <c r="H35" s="18"/>
    </row>
    <row r="36" spans="3:8" x14ac:dyDescent="0.25">
      <c r="C36" s="2"/>
      <c r="D36" s="2"/>
      <c r="F36" s="2"/>
      <c r="G36" s="2"/>
      <c r="H36" s="18"/>
    </row>
    <row r="37" spans="3:8" x14ac:dyDescent="0.25">
      <c r="C37" s="2"/>
      <c r="D37" s="2"/>
      <c r="F37" s="2"/>
      <c r="G37" s="2"/>
      <c r="H37" s="18"/>
    </row>
    <row r="38" spans="3:8" x14ac:dyDescent="0.25">
      <c r="C38" s="2"/>
      <c r="D38" s="2"/>
      <c r="F38" s="2"/>
      <c r="G38" s="2"/>
      <c r="H38" s="18"/>
    </row>
    <row r="39" spans="3:8" x14ac:dyDescent="0.25">
      <c r="C39" s="2"/>
      <c r="D39" s="2"/>
      <c r="F39" s="2"/>
      <c r="G39" s="2"/>
      <c r="H39" s="18"/>
    </row>
    <row r="40" spans="3:8" x14ac:dyDescent="0.25">
      <c r="C40" s="2"/>
      <c r="D40" s="2"/>
      <c r="F40" s="2"/>
      <c r="G40" s="2"/>
      <c r="H40" s="18"/>
    </row>
    <row r="41" spans="3:8" x14ac:dyDescent="0.25">
      <c r="C41" s="2"/>
      <c r="D41" s="2"/>
      <c r="F41" s="2"/>
      <c r="G41" s="2"/>
      <c r="H41" s="18"/>
    </row>
    <row r="42" spans="3:8" x14ac:dyDescent="0.25">
      <c r="C42" s="2"/>
      <c r="D42" s="2"/>
      <c r="F42" s="2"/>
      <c r="G42" s="2"/>
      <c r="H42" s="18"/>
    </row>
    <row r="43" spans="3:8" x14ac:dyDescent="0.25">
      <c r="C43" s="2"/>
      <c r="D43" s="2"/>
      <c r="F43" s="2"/>
      <c r="G43" s="2"/>
      <c r="H43" s="18"/>
    </row>
    <row r="44" spans="3:8" x14ac:dyDescent="0.25">
      <c r="C44" s="2"/>
      <c r="D44" s="2"/>
      <c r="F44" s="2"/>
      <c r="G44" s="2"/>
      <c r="H44" s="18"/>
    </row>
    <row r="45" spans="3:8" x14ac:dyDescent="0.25">
      <c r="C45" s="2"/>
      <c r="D45" s="2"/>
      <c r="F45" s="2"/>
      <c r="G45" s="2"/>
      <c r="H45" s="18"/>
    </row>
    <row r="46" spans="3:8" x14ac:dyDescent="0.25">
      <c r="C46" s="2"/>
      <c r="D46" s="2"/>
      <c r="F46" s="2"/>
      <c r="G46" s="2"/>
      <c r="H46" s="18"/>
    </row>
    <row r="47" spans="3:8" x14ac:dyDescent="0.25">
      <c r="C47" s="2"/>
      <c r="D47" s="2"/>
      <c r="F47" s="2"/>
      <c r="G47" s="2"/>
      <c r="H47" s="18"/>
    </row>
    <row r="48" spans="3:8" x14ac:dyDescent="0.25">
      <c r="C48" s="2"/>
      <c r="D48" s="2"/>
      <c r="F48" s="2"/>
      <c r="G48" s="2"/>
      <c r="H48" s="18"/>
    </row>
    <row r="49" spans="3:8" x14ac:dyDescent="0.25">
      <c r="C49" s="2"/>
      <c r="D49" s="2"/>
      <c r="F49" s="2"/>
      <c r="G49" s="2"/>
      <c r="H49" s="18"/>
    </row>
    <row r="50" spans="3:8" x14ac:dyDescent="0.25">
      <c r="C50" s="2"/>
      <c r="D50" s="2"/>
      <c r="F50" s="2"/>
      <c r="G50" s="2"/>
      <c r="H50" s="18"/>
    </row>
    <row r="51" spans="3:8" x14ac:dyDescent="0.25">
      <c r="C51" s="2"/>
      <c r="D51" s="2"/>
      <c r="F51" s="2"/>
      <c r="G51" s="2"/>
      <c r="H51" s="18"/>
    </row>
    <row r="52" spans="3:8" x14ac:dyDescent="0.25">
      <c r="C52" s="2"/>
      <c r="D52" s="2"/>
      <c r="F52" s="2"/>
      <c r="G52" s="2"/>
      <c r="H52" s="18"/>
    </row>
    <row r="53" spans="3:8" x14ac:dyDescent="0.25">
      <c r="C53" s="2"/>
      <c r="D53" s="2"/>
      <c r="F53" s="2"/>
      <c r="G53" s="2"/>
      <c r="H53" s="18"/>
    </row>
    <row r="54" spans="3:8" x14ac:dyDescent="0.25">
      <c r="C54" s="2"/>
      <c r="D54" s="2"/>
      <c r="F54" s="2"/>
      <c r="G54" s="2"/>
      <c r="H54" s="18"/>
    </row>
    <row r="55" spans="3:8" x14ac:dyDescent="0.25">
      <c r="C55" s="2"/>
      <c r="D55" s="2"/>
      <c r="F55" s="2"/>
      <c r="G55" s="2"/>
      <c r="H55" s="18"/>
    </row>
    <row r="56" spans="3:8" x14ac:dyDescent="0.25">
      <c r="C56" s="2"/>
      <c r="D56" s="2"/>
      <c r="F56" s="2"/>
      <c r="G56" s="2"/>
      <c r="H56" s="18"/>
    </row>
    <row r="57" spans="3:8" x14ac:dyDescent="0.25">
      <c r="C57" s="2"/>
      <c r="D57" s="2"/>
      <c r="F57" s="2"/>
      <c r="G57" s="2"/>
      <c r="H57" s="18"/>
    </row>
    <row r="58" spans="3:8" x14ac:dyDescent="0.25">
      <c r="C58" s="2"/>
      <c r="D58" s="2"/>
      <c r="F58" s="2"/>
      <c r="G58" s="2"/>
      <c r="H58" s="18"/>
    </row>
    <row r="59" spans="3:8" x14ac:dyDescent="0.25">
      <c r="C59" s="2"/>
      <c r="D59" s="2"/>
      <c r="F59" s="2"/>
      <c r="G59" s="2"/>
      <c r="H59" s="18"/>
    </row>
    <row r="60" spans="3:8" x14ac:dyDescent="0.25">
      <c r="C60" s="2"/>
      <c r="D60" s="2"/>
      <c r="F60" s="2"/>
      <c r="G60" s="2"/>
      <c r="H60" s="18"/>
    </row>
    <row r="61" spans="3:8" x14ac:dyDescent="0.25">
      <c r="C61" s="2"/>
      <c r="D61" s="2"/>
      <c r="F61" s="2"/>
      <c r="G61" s="2"/>
      <c r="H61" s="18"/>
    </row>
    <row r="62" spans="3:8" x14ac:dyDescent="0.25">
      <c r="C62" s="2"/>
      <c r="D62" s="2"/>
      <c r="F62" s="2"/>
      <c r="G62" s="2"/>
      <c r="H62" s="18"/>
    </row>
    <row r="63" spans="3:8" x14ac:dyDescent="0.25">
      <c r="C63" s="2"/>
      <c r="D63" s="2"/>
      <c r="F63" s="2"/>
      <c r="G63" s="2"/>
      <c r="H63" s="18"/>
    </row>
    <row r="64" spans="3:8" x14ac:dyDescent="0.25">
      <c r="C64" s="2"/>
      <c r="D64" s="2"/>
      <c r="F64" s="2"/>
      <c r="G64" s="2"/>
      <c r="H64" s="18"/>
    </row>
    <row r="65" spans="3:8" x14ac:dyDescent="0.25">
      <c r="C65" s="2"/>
      <c r="D65" s="2"/>
      <c r="F65" s="2"/>
      <c r="G65" s="2"/>
      <c r="H65" s="18"/>
    </row>
    <row r="66" spans="3:8" x14ac:dyDescent="0.25">
      <c r="C66" s="2"/>
      <c r="D66" s="2"/>
      <c r="F66" s="2"/>
      <c r="G66" s="2"/>
      <c r="H66" s="18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4261F-F673-4CD8-8729-CCBC056937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Dynamic Path</vt:lpstr>
      <vt:lpstr>undervalued_trades</vt:lpstr>
      <vt:lpstr>value weight chart</vt:lpstr>
      <vt:lpstr>Trades Summary</vt:lpstr>
      <vt:lpstr>Undervalued Stocks</vt:lpstr>
      <vt:lpstr>Monthly P&amp;L</vt:lpstr>
      <vt:lpstr>'Monthly P&amp;L'!pivot</vt:lpstr>
      <vt:lpstr>'Trades Summary'!pivot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Khoi</dc:creator>
  <cp:lastModifiedBy>Le, Khoi</cp:lastModifiedBy>
  <dcterms:created xsi:type="dcterms:W3CDTF">2025-11-18T03:27:29Z</dcterms:created>
  <dcterms:modified xsi:type="dcterms:W3CDTF">2025-11-24T18:30:52Z</dcterms:modified>
</cp:coreProperties>
</file>