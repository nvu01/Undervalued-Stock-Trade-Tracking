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9672242C-9FBF-4345-9F3D-3254BDA69DC5}" xr6:coauthVersionLast="47" xr6:coauthVersionMax="47" xr10:uidLastSave="{00000000-0000-0000-0000-000000000000}"/>
  <bookViews>
    <workbookView xWindow="2868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value_weight!$A$2:$B$66</definedName>
    <definedName name="_xlchart.v1.1" hidden="1">value_weight!$C$2:$C$66</definedName>
    <definedName name="_xlchart.v1.2" hidden="1">value_weight!$G$2:$H$66</definedName>
    <definedName name="_xlchart.v1.3" hidden="1">value_weight!$I$2:$I$66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" hidden="1">trades[]</definedName>
    <definedName name="_xleta.MAX" hidden="1" xlm="1">#NAME?</definedName>
    <definedName name="_xleta.SUM" hidden="1" xlm="1">#NAME?</definedName>
    <definedName name="ExternalData_1" localSheetId="3" hidden="1">'Portfolio Summary'!$A$4:$G$69</definedName>
    <definedName name="ExternalData_1" localSheetId="2" hidden="1">undervalued_trades!$A$1:$E$140</definedName>
    <definedName name="ExternalData_1" localSheetId="1" hidden="1">value_weight!$A$1:$E$66</definedName>
    <definedName name="ExternalData_2" localSheetId="1" hidden="1">value_weight!$G$1:$K$66</definedName>
  </definedNames>
  <calcPr calcId="191029"/>
  <pivotCaches>
    <pivotCache cacheId="12" r:id="rId7"/>
    <pivotCache cacheId="1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G2" i="2"/>
  <c r="H2" i="2" s="1"/>
  <c r="I2" i="2" s="1"/>
  <c r="G3" i="2"/>
  <c r="G4" i="2"/>
  <c r="H4" i="2" s="1"/>
  <c r="I4" i="2" s="1"/>
  <c r="G5" i="2"/>
  <c r="H5" i="2" s="1"/>
  <c r="I5" i="2" s="1"/>
  <c r="G6" i="2"/>
  <c r="H6" i="2" s="1"/>
  <c r="I6" i="2" s="1"/>
  <c r="G7" i="2"/>
  <c r="G8" i="2"/>
  <c r="H8" i="2" s="1"/>
  <c r="I8" i="2" s="1"/>
  <c r="G9" i="2"/>
  <c r="H9" i="2" s="1"/>
  <c r="I9" i="2" s="1"/>
  <c r="G10" i="2"/>
  <c r="H10" i="2" s="1"/>
  <c r="I10" i="2" s="1"/>
  <c r="G11" i="2"/>
  <c r="G12" i="2"/>
  <c r="H12" i="2" s="1"/>
  <c r="I12" i="2" s="1"/>
  <c r="G13" i="2"/>
  <c r="G14" i="2"/>
  <c r="G15" i="2"/>
  <c r="G16" i="2"/>
  <c r="G17" i="2"/>
  <c r="G18" i="2"/>
  <c r="G19" i="2"/>
  <c r="G20" i="2"/>
  <c r="G21" i="2"/>
  <c r="H21" i="2" s="1"/>
  <c r="I21" i="2" s="1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H28" i="2" s="1"/>
  <c r="I28" i="2" s="1"/>
  <c r="G29" i="2"/>
  <c r="H29" i="2" s="1"/>
  <c r="I29" i="2" s="1"/>
  <c r="G30" i="2"/>
  <c r="H30" i="2" s="1"/>
  <c r="I30" i="2" s="1"/>
  <c r="G31" i="2"/>
  <c r="G32" i="2"/>
  <c r="H32" i="2" s="1"/>
  <c r="I32" i="2" s="1"/>
  <c r="G33" i="2"/>
  <c r="G34" i="2"/>
  <c r="G35" i="2"/>
  <c r="G36" i="2"/>
  <c r="G37" i="2"/>
  <c r="G38" i="2"/>
  <c r="G39" i="2"/>
  <c r="G40" i="2"/>
  <c r="G41" i="2"/>
  <c r="H41" i="2" s="1"/>
  <c r="I41" i="2" s="1"/>
  <c r="G42" i="2"/>
  <c r="H42" i="2" s="1"/>
  <c r="I42" i="2" s="1"/>
  <c r="G43" i="2"/>
  <c r="G44" i="2"/>
  <c r="H44" i="2" s="1"/>
  <c r="I44" i="2" s="1"/>
  <c r="G45" i="2"/>
  <c r="H45" i="2" s="1"/>
  <c r="I45" i="2" s="1"/>
  <c r="G46" i="2"/>
  <c r="H46" i="2" s="1"/>
  <c r="I46" i="2" s="1"/>
  <c r="G47" i="2"/>
  <c r="H47" i="2" s="1"/>
  <c r="I47" i="2" s="1"/>
  <c r="G48" i="2"/>
  <c r="H48" i="2" s="1"/>
  <c r="I48" i="2" s="1"/>
  <c r="G49" i="2"/>
  <c r="H49" i="2" s="1"/>
  <c r="I49" i="2" s="1"/>
  <c r="G50" i="2"/>
  <c r="H50" i="2" s="1"/>
  <c r="I50" i="2" s="1"/>
  <c r="G51" i="2"/>
  <c r="G52" i="2"/>
  <c r="H52" i="2" s="1"/>
  <c r="I52" i="2" s="1"/>
  <c r="G53" i="2"/>
  <c r="G54" i="2"/>
  <c r="G55" i="2"/>
  <c r="G56" i="2"/>
  <c r="G57" i="2"/>
  <c r="G58" i="2"/>
  <c r="G59" i="2"/>
  <c r="G60" i="2"/>
  <c r="G61" i="2"/>
  <c r="H61" i="2" s="1"/>
  <c r="I61" i="2" s="1"/>
  <c r="G62" i="2"/>
  <c r="H62" i="2" s="1"/>
  <c r="I62" i="2" s="1"/>
  <c r="G63" i="2"/>
  <c r="G64" i="2"/>
  <c r="H64" i="2" s="1"/>
  <c r="I64" i="2" s="1"/>
  <c r="G65" i="2"/>
  <c r="H65" i="2" s="1"/>
  <c r="I65" i="2" s="1"/>
  <c r="G66" i="2"/>
  <c r="H66" i="2" s="1"/>
  <c r="I66" i="2" s="1"/>
  <c r="G67" i="2"/>
  <c r="H67" i="2" s="1"/>
  <c r="I67" i="2" s="1"/>
  <c r="G68" i="2"/>
  <c r="H68" i="2" s="1"/>
  <c r="I68" i="2" s="1"/>
  <c r="G69" i="2"/>
  <c r="G70" i="2"/>
  <c r="H70" i="2" s="1"/>
  <c r="I70" i="2" s="1"/>
  <c r="G71" i="2"/>
  <c r="G72" i="2"/>
  <c r="H72" i="2" s="1"/>
  <c r="I72" i="2" s="1"/>
  <c r="G73" i="2"/>
  <c r="G74" i="2"/>
  <c r="G75" i="2"/>
  <c r="G76" i="2"/>
  <c r="G77" i="2"/>
  <c r="G78" i="2"/>
  <c r="G79" i="2"/>
  <c r="G80" i="2"/>
  <c r="G81" i="2"/>
  <c r="H81" i="2" s="1"/>
  <c r="I81" i="2" s="1"/>
  <c r="G82" i="2"/>
  <c r="H82" i="2" s="1"/>
  <c r="I82" i="2" s="1"/>
  <c r="G83" i="2"/>
  <c r="G84" i="2"/>
  <c r="H84" i="2" s="1"/>
  <c r="I84" i="2" s="1"/>
  <c r="G85" i="2"/>
  <c r="H85" i="2" s="1"/>
  <c r="I85" i="2" s="1"/>
  <c r="G86" i="2"/>
  <c r="H86" i="2" s="1"/>
  <c r="I86" i="2" s="1"/>
  <c r="G87" i="2"/>
  <c r="G88" i="2"/>
  <c r="H88" i="2" s="1"/>
  <c r="I88" i="2" s="1"/>
  <c r="G89" i="2"/>
  <c r="H89" i="2" s="1"/>
  <c r="I89" i="2" s="1"/>
  <c r="G90" i="2"/>
  <c r="H90" i="2" s="1"/>
  <c r="I90" i="2" s="1"/>
  <c r="G91" i="2"/>
  <c r="G92" i="2"/>
  <c r="H92" i="2" s="1"/>
  <c r="I92" i="2" s="1"/>
  <c r="G93" i="2"/>
  <c r="G94" i="2"/>
  <c r="G95" i="2"/>
  <c r="G96" i="2"/>
  <c r="G97" i="2"/>
  <c r="G98" i="2"/>
  <c r="G99" i="2"/>
  <c r="G100" i="2"/>
  <c r="G101" i="2"/>
  <c r="H101" i="2" s="1"/>
  <c r="I101" i="2" s="1"/>
  <c r="G102" i="2"/>
  <c r="H102" i="2" s="1"/>
  <c r="I102" i="2" s="1"/>
  <c r="G103" i="2"/>
  <c r="G104" i="2"/>
  <c r="H104" i="2" s="1"/>
  <c r="I104" i="2" s="1"/>
  <c r="G105" i="2"/>
  <c r="H105" i="2" s="1"/>
  <c r="I105" i="2" s="1"/>
  <c r="G106" i="2"/>
  <c r="H106" i="2" s="1"/>
  <c r="I106" i="2" s="1"/>
  <c r="G107" i="2"/>
  <c r="G108" i="2"/>
  <c r="G109" i="2"/>
  <c r="H109" i="2" s="1"/>
  <c r="I109" i="2" s="1"/>
  <c r="G110" i="2"/>
  <c r="G111" i="2"/>
  <c r="G112" i="2"/>
  <c r="H112" i="2" s="1"/>
  <c r="I112" i="2" s="1"/>
  <c r="G113" i="2"/>
  <c r="G114" i="2"/>
  <c r="G115" i="2"/>
  <c r="G116" i="2"/>
  <c r="G117" i="2"/>
  <c r="G118" i="2"/>
  <c r="G119" i="2"/>
  <c r="G120" i="2"/>
  <c r="G121" i="2"/>
  <c r="H121" i="2" s="1"/>
  <c r="I121" i="2" s="1"/>
  <c r="G122" i="2"/>
  <c r="H122" i="2" s="1"/>
  <c r="I122" i="2" s="1"/>
  <c r="G123" i="2"/>
  <c r="G124" i="2"/>
  <c r="H124" i="2" s="1"/>
  <c r="I124" i="2" s="1"/>
  <c r="G125" i="2"/>
  <c r="H125" i="2" s="1"/>
  <c r="I125" i="2" s="1"/>
  <c r="G126" i="2"/>
  <c r="H126" i="2" s="1"/>
  <c r="I126" i="2" s="1"/>
  <c r="G127" i="2"/>
  <c r="G128" i="2"/>
  <c r="G129" i="2"/>
  <c r="H129" i="2" s="1"/>
  <c r="I129" i="2" s="1"/>
  <c r="G130" i="2"/>
  <c r="G131" i="2"/>
  <c r="G132" i="2"/>
  <c r="H132" i="2" s="1"/>
  <c r="I132" i="2" s="1"/>
  <c r="G133" i="2"/>
  <c r="G134" i="2"/>
  <c r="G135" i="2"/>
  <c r="G136" i="2"/>
  <c r="G137" i="2"/>
  <c r="G138" i="2"/>
  <c r="G139" i="2"/>
  <c r="G140" i="2"/>
  <c r="H3" i="2"/>
  <c r="I3" i="2" s="1"/>
  <c r="H7" i="2"/>
  <c r="I7" i="2" s="1"/>
  <c r="H43" i="2"/>
  <c r="I43" i="2" s="1"/>
  <c r="H63" i="2"/>
  <c r="I63" i="2" s="1"/>
  <c r="H69" i="2"/>
  <c r="I69" i="2" s="1"/>
  <c r="H83" i="2"/>
  <c r="I83" i="2" s="1"/>
  <c r="H87" i="2"/>
  <c r="I87" i="2" s="1"/>
  <c r="H108" i="2"/>
  <c r="I108" i="2" s="1"/>
  <c r="H123" i="2"/>
  <c r="I123" i="2" s="1"/>
  <c r="H127" i="2"/>
  <c r="I127" i="2" s="1"/>
  <c r="H128" i="2"/>
  <c r="I128" i="2" s="1"/>
  <c r="C5" i="3"/>
  <c r="F5" i="3" s="1"/>
  <c r="C6" i="3"/>
  <c r="F6" i="3" s="1"/>
  <c r="C7" i="3"/>
  <c r="F7" i="3" s="1"/>
  <c r="C8" i="3"/>
  <c r="F8" i="3" s="1"/>
  <c r="C9" i="3"/>
  <c r="F9" i="3" s="1"/>
  <c r="C10" i="3"/>
  <c r="F10" i="3" s="1"/>
  <c r="C11" i="3"/>
  <c r="C12" i="3"/>
  <c r="F12" i="3" s="1"/>
  <c r="C13" i="3"/>
  <c r="F13" i="3" s="1"/>
  <c r="C14" i="3"/>
  <c r="F14" i="3" s="1"/>
  <c r="C15" i="3"/>
  <c r="F15" i="3" s="1"/>
  <c r="C16" i="3"/>
  <c r="F16" i="3" s="1"/>
  <c r="C17" i="3"/>
  <c r="F17" i="3" s="1"/>
  <c r="C18" i="3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F45" i="3" s="1"/>
  <c r="C46" i="3"/>
  <c r="F46" i="3" s="1"/>
  <c r="C47" i="3"/>
  <c r="F47" i="3" s="1"/>
  <c r="C48" i="3"/>
  <c r="F48" i="3" s="1"/>
  <c r="C49" i="3"/>
  <c r="F49" i="3" s="1"/>
  <c r="C50" i="3"/>
  <c r="F50" i="3" s="1"/>
  <c r="C51" i="3"/>
  <c r="F51" i="3" s="1"/>
  <c r="C52" i="3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F65" i="3" s="1"/>
  <c r="C66" i="3"/>
  <c r="F66" i="3" s="1"/>
  <c r="C67" i="3"/>
  <c r="F67" i="3" s="1"/>
  <c r="C68" i="3"/>
  <c r="F68" i="3" s="1"/>
  <c r="C69" i="3"/>
  <c r="F69" i="3" s="1"/>
  <c r="F11" i="3"/>
  <c r="F18" i="3"/>
  <c r="F52" i="3"/>
  <c r="L1" i="3"/>
  <c r="L2" i="3"/>
  <c r="E1" i="4"/>
  <c r="H130" i="2" l="1"/>
  <c r="I130" i="2" s="1"/>
  <c r="H110" i="2"/>
  <c r="I110" i="2" s="1"/>
  <c r="H107" i="2"/>
  <c r="I107" i="2" s="1"/>
  <c r="H103" i="2"/>
  <c r="I103" i="2" s="1"/>
  <c r="H136" i="2"/>
  <c r="I136" i="2" s="1"/>
  <c r="H76" i="2"/>
  <c r="I76" i="2" s="1"/>
  <c r="H16" i="2"/>
  <c r="I16" i="2" s="1"/>
  <c r="H133" i="2"/>
  <c r="I133" i="2" s="1"/>
  <c r="H73" i="2"/>
  <c r="I73" i="2" s="1"/>
  <c r="H53" i="2"/>
  <c r="I53" i="2" s="1"/>
  <c r="H33" i="2"/>
  <c r="I33" i="2" s="1"/>
  <c r="H13" i="2"/>
  <c r="I13" i="2" s="1"/>
  <c r="H79" i="2"/>
  <c r="I79" i="2" s="1"/>
  <c r="H95" i="2"/>
  <c r="I95" i="2" s="1"/>
  <c r="H118" i="2"/>
  <c r="I118" i="2" s="1"/>
  <c r="H78" i="2"/>
  <c r="I78" i="2" s="1"/>
  <c r="H38" i="2"/>
  <c r="I38" i="2" s="1"/>
  <c r="H96" i="2"/>
  <c r="I96" i="2" s="1"/>
  <c r="H36" i="2"/>
  <c r="I36" i="2" s="1"/>
  <c r="H75" i="2"/>
  <c r="I75" i="2" s="1"/>
  <c r="H55" i="2"/>
  <c r="I55" i="2" s="1"/>
  <c r="H15" i="2"/>
  <c r="I15" i="2" s="1"/>
  <c r="H94" i="2"/>
  <c r="I94" i="2" s="1"/>
  <c r="H34" i="2"/>
  <c r="I34" i="2" s="1"/>
  <c r="H111" i="2"/>
  <c r="I111" i="2" s="1"/>
  <c r="H120" i="2"/>
  <c r="I120" i="2" s="1"/>
  <c r="H59" i="2"/>
  <c r="I59" i="2" s="1"/>
  <c r="H35" i="2"/>
  <c r="I35" i="2" s="1"/>
  <c r="H93" i="2"/>
  <c r="I93" i="2" s="1"/>
  <c r="H131" i="2"/>
  <c r="I131" i="2" s="1"/>
  <c r="H51" i="2"/>
  <c r="I51" i="2" s="1"/>
  <c r="H138" i="2"/>
  <c r="I138" i="2" s="1"/>
  <c r="H58" i="2"/>
  <c r="I58" i="2" s="1"/>
  <c r="H137" i="2"/>
  <c r="I137" i="2" s="1"/>
  <c r="H117" i="2"/>
  <c r="I117" i="2" s="1"/>
  <c r="H77" i="2"/>
  <c r="I77" i="2" s="1"/>
  <c r="H57" i="2"/>
  <c r="I57" i="2" s="1"/>
  <c r="H37" i="2"/>
  <c r="I37" i="2" s="1"/>
  <c r="H17" i="2"/>
  <c r="I17" i="2" s="1"/>
  <c r="H135" i="2"/>
  <c r="I135" i="2" s="1"/>
  <c r="H134" i="2"/>
  <c r="I134" i="2" s="1"/>
  <c r="H71" i="2"/>
  <c r="I71" i="2" s="1"/>
  <c r="H31" i="2"/>
  <c r="I31" i="2" s="1"/>
  <c r="H140" i="2"/>
  <c r="I140" i="2" s="1"/>
  <c r="H100" i="2"/>
  <c r="I100" i="2" s="1"/>
  <c r="H80" i="2"/>
  <c r="I80" i="2" s="1"/>
  <c r="H60" i="2"/>
  <c r="I60" i="2" s="1"/>
  <c r="H40" i="2"/>
  <c r="I40" i="2" s="1"/>
  <c r="H20" i="2"/>
  <c r="I20" i="2" s="1"/>
  <c r="H97" i="2"/>
  <c r="I97" i="2" s="1"/>
  <c r="H116" i="2"/>
  <c r="I116" i="2" s="1"/>
  <c r="H56" i="2"/>
  <c r="I56" i="2" s="1"/>
  <c r="H113" i="2"/>
  <c r="I113" i="2" s="1"/>
  <c r="H91" i="2"/>
  <c r="I91" i="2" s="1"/>
  <c r="H11" i="2"/>
  <c r="I11" i="2" s="1"/>
  <c r="H115" i="2"/>
  <c r="I115" i="2" s="1"/>
  <c r="H114" i="2"/>
  <c r="I114" i="2" s="1"/>
  <c r="H74" i="2"/>
  <c r="I74" i="2" s="1"/>
  <c r="H54" i="2"/>
  <c r="I54" i="2" s="1"/>
  <c r="H14" i="2"/>
  <c r="I14" i="2" s="1"/>
  <c r="H139" i="2"/>
  <c r="I139" i="2" s="1"/>
  <c r="H99" i="2"/>
  <c r="I99" i="2" s="1"/>
  <c r="H39" i="2"/>
  <c r="I39" i="2" s="1"/>
  <c r="H19" i="2"/>
  <c r="I19" i="2" s="1"/>
  <c r="H119" i="2"/>
  <c r="I119" i="2" s="1"/>
  <c r="H98" i="2"/>
  <c r="I98" i="2" s="1"/>
  <c r="H18" i="2"/>
  <c r="I18" i="2" s="1"/>
  <c r="D2" i="3"/>
  <c r="F1" i="3"/>
  <c r="A2" i="3"/>
  <c r="A1" i="3"/>
  <c r="J1" i="3" l="1"/>
  <c r="J2" i="3" s="1"/>
  <c r="B33" i="6"/>
  <c r="B32" i="6"/>
  <c r="B31" i="6"/>
  <c r="B30" i="6"/>
  <c r="B29" i="6"/>
  <c r="B28" i="6"/>
  <c r="B27" i="6"/>
  <c r="B26" i="6"/>
  <c r="B25" i="6"/>
  <c r="B24" i="6"/>
  <c r="H1" i="3"/>
  <c r="D1" i="3" s="1"/>
  <c r="H2" i="3" l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F2" i="3"/>
  <c r="B34" i="6"/>
  <c r="B23" i="6" l="1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D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The market value of all assets, including realized P&amp;L.</t>
        </r>
      </text>
    </comment>
    <comment ref="F1" authorId="0" shapeId="0" xr:uid="{5B4E1E05-2CCE-4E09-9120-EE415006328C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profit or loss on currently open positions.</t>
        </r>
      </text>
    </comment>
    <comment ref="H1" authorId="0" shapeId="0" xr:uid="{B31BDA93-FEE1-4839-8E17-70A5DBEC3960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profit or loss from shares sold.</t>
        </r>
      </text>
    </comment>
    <comment ref="J1" authorId="0" shapeId="0" xr:uid="{CCB5A1E0-7A9D-4399-AEC7-D0037C2CE9D2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currently open positions.</t>
        </r>
      </text>
    </comment>
    <comment ref="L1" authorId="0" shapeId="0" xr:uid="{4C06FEC7-6B8F-404B-B665-B3127D81B92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amount spent on all purchases (ignoring sales).</t>
        </r>
      </text>
    </comment>
    <comment ref="D2" authorId="0" shapeId="0" xr:uid="{FFA0043A-9661-4792-B0E0-B1A18A1997A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Current market value of all open positions.</t>
        </r>
      </text>
    </comment>
    <comment ref="F2" authorId="0" shapeId="0" xr:uid="{60CFBB65-D2BD-46D8-AE32-5BBD7598F154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investment in open positions.</t>
        </r>
      </text>
    </comment>
    <comment ref="H2" authorId="0" shapeId="0" xr:uid="{365C9AD6-0279-4E79-9266-55278D4D00E6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capital invested in sold shares.</t>
        </r>
      </text>
    </comment>
    <comment ref="J2" authorId="0" shapeId="0" xr:uid="{B789D335-6219-40E7-B0CA-F07C67D3DE7A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shares that have been sold.</t>
        </r>
      </text>
    </comment>
    <comment ref="L2" authorId="0" shapeId="0" xr:uid="{D1107F1F-12D5-4E35-A1C4-46EB5386A3AB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Net capital still invested after accounting for sales.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<sst xmlns="http://schemas.openxmlformats.org/spreadsheetml/2006/main" count="611" uniqueCount="124">
  <si>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</si>
  <si>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</si>
  <si>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</si>
  <si>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</si>
  <si>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</si>
  <si>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</si>
  <si>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</si>
  <si>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</si>
  <si>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</si>
  <si>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</si>
  <si>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</si>
  <si>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</si>
  <si>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</si>
  <si>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</si>
  <si>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</si>
  <si>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</si>
  <si>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</si>
  <si>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</si>
  <si>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</si>
  <si>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</si>
  <si>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</si>
  <si>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</si>
  <si>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</si>
  <si>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</si>
  <si>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</si>
  <si>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</si>
  <si>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</si>
  <si>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</si>
  <si>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Open P&amp;L Weight</t>
  </si>
  <si>
    <t>Current Qty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</si>
  <si>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</si>
  <si>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</si>
  <si>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</si>
  <si>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</si>
  <si>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</si>
  <si>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</si>
  <si>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</si>
  <si>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</si>
  <si>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</si>
  <si>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</si>
  <si>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</si>
  <si>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</si>
  <si>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</si>
  <si>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</si>
  <si>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</si>
  <si>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</si>
  <si>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</si>
  <si>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</si>
  <si>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</si>
  <si>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</si>
  <si>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</si>
  <si>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</si>
  <si>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</si>
  <si>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</si>
  <si>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</si>
  <si>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</si>
  <si>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</si>
  <si>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</si>
  <si>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</si>
  <si>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</si>
  <si>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</si>
  <si>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</si>
  <si>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</si>
  <si>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</si>
  <si>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</si>
  <si>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</si>
  <si>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</si>
  <si>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</si>
  <si>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</si>
  <si>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</si>
  <si>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</si>
  <si>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</si>
  <si>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</si>
  <si>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</si>
  <si>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</si>
  <si>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</si>
  <si>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</si>
  <si>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</si>
  <si>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</si>
  <si>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</si>
  <si>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</si>
  <si>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</si>
  <si>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</si>
  <si>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</si>
  <si>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</si>
  <si>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</si>
  <si>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</si>
  <si>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</si>
  <si>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</si>
  <si>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</si>
  <si>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</si>
  <si>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</si>
  <si>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</si>
  <si>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</si>
  <si>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</si>
  <si>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</si>
  <si>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</si>
  <si>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</si>
  <si>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</si>
  <si>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</si>
  <si>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</si>
  <si>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</si>
  <si>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</si>
  <si>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May</t>
  </si>
  <si>
    <t>Jun</t>
  </si>
  <si>
    <t>Aug</t>
  </si>
  <si>
    <t>Open Cost Basis</t>
  </si>
  <si>
    <t>Closed Cost Basis</t>
  </si>
  <si>
    <t>Net Spending</t>
  </si>
  <si>
    <t>Total Spending</t>
  </si>
  <si>
    <t>Oct</t>
  </si>
  <si>
    <t>Nov</t>
  </si>
  <si>
    <t>Dec</t>
  </si>
  <si>
    <t>Jan</t>
  </si>
  <si>
    <t>Feb</t>
  </si>
  <si>
    <t>Mar</t>
  </si>
  <si>
    <t>Apr</t>
  </si>
  <si>
    <t>Jul</t>
  </si>
  <si>
    <t>Sep</t>
  </si>
  <si>
    <t>Breakeven/Closed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</si>
  <si>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|Net Investment in Active Stock| / |Portfolio's Net Spending|</t>
    </r>
  </si>
  <si>
    <t>Holdings Value</t>
  </si>
  <si>
    <t>Portfolio Value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</si>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</sst>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65" fontId="0" fillId="2" borderId="3" xfId="0" applyNumberFormat="1" applyFill="1" applyBorder="1" applyAlignment="1">
      <alignment vertical="center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NumberFormat="1"/>
    <xf numFmtId="4" fontId="0" fillId="0" borderId="13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2.16</v>
        <stp/>
        <stp>LAST</stp>
        <stp>WIT</stp>
        <tr r="G122" s="2"/>
        <tr r="C64" s="3"/>
        <tr r="G124" s="2"/>
        <tr r="G123" s="2"/>
      </tp>
      <tp>
        <v>115.355</v>
        <stp/>
        <stp>LAST</stp>
        <stp>TGT</stp>
        <tr r="G109" s="2"/>
        <tr r="C58" s="3"/>
      </tp>
      <tp>
        <v>45.295000000000002</v>
        <stp/>
        <stp>LAST</stp>
        <stp>RAL</stp>
        <tr r="C48" s="3"/>
        <tr r="G87" s="2"/>
      </tp>
      <tp>
        <v>80.52</v>
        <stp/>
        <stp>LAST</stp>
        <stp>SQM</stp>
        <tr r="G98" s="2"/>
        <tr r="C54" s="3"/>
      </tp>
      <tp>
        <v>24.385000000000002</v>
        <stp/>
        <stp>LAST</stp>
        <stp>SFD</stp>
        <tr r="C51" s="3"/>
        <tr r="G95" s="2"/>
      </tp>
      <tp>
        <v>12.95</v>
        <stp/>
        <stp>LAST</stp>
        <stp>SGU</stp>
        <tr r="G96" s="2"/>
        <tr r="C52" s="3"/>
      </tp>
      <tp>
        <v>133.88999999999999</v>
        <stp/>
        <stp>LAST</stp>
        <stp>PHM</stp>
        <tr r="C47" s="3"/>
        <tr r="G86" s="2"/>
        <tr r="G85" s="2"/>
      </tp>
      <tp>
        <v>86.82</v>
        <stp/>
        <stp>LAST</stp>
        <stp>PDS</stp>
        <tr r="G84" s="2"/>
        <tr r="G83" s="2"/>
        <tr r="C46" s="3"/>
      </tp>
      <tp>
        <v>106.88</v>
        <stp/>
        <stp>LAST</stp>
        <stp>PDD</stp>
        <tr r="G82" s="2"/>
        <tr r="C45" s="3"/>
        <tr r="G80" s="2"/>
        <tr r="G81" s="2"/>
      </tp>
      <tp>
        <v>5.0199999999999996</v>
        <stp/>
        <stp>LAST</stp>
        <stp>XYF</stp>
        <tr r="G129" s="2"/>
        <tr r="G128" s="2"/>
        <tr r="G127" s="2"/>
        <tr r="G126" s="2"/>
        <tr r="G125" s="2"/>
        <tr r="C65" s="3"/>
      </tp>
      <tp>
        <v>3.7349999999999999</v>
        <stp/>
        <stp>LAST</stp>
        <stp>YRD</stp>
        <tr r="G133" s="2"/>
        <tr r="G132" s="2"/>
        <tr r="G134" s="2"/>
        <tr r="G135" s="2"/>
        <tr r="G131" s="2"/>
        <tr r="C67" s="3"/>
      </tp>
      <tp>
        <v>55.24</v>
        <stp/>
        <stp>LAST</stp>
        <stp>FHI</stp>
        <tr r="G36" s="2"/>
        <tr r="C26" s="3"/>
      </tp>
      <tp>
        <v>39.405000000000001</v>
        <stp/>
        <stp>LAST</stp>
        <stp>GSL</stp>
        <tr r="G52" s="2"/>
        <tr r="C32" s="3"/>
        <tr r="G51" s="2"/>
      </tp>
      <tp>
        <v>70.650000000000006</v>
        <stp/>
        <stp>LAST</stp>
        <stp>GIB</stp>
        <tr r="G40" s="2"/>
        <tr r="C29" s="3"/>
        <tr r="G41" s="2"/>
        <tr r="G42" s="2"/>
        <tr r="G43" s="2"/>
      </tp>
      <tp>
        <v>66.510000000000005</v>
        <stp/>
        <stp>LAST</stp>
        <stp>DOX</stp>
        <tr r="G34" s="2"/>
        <tr r="G35" s="2"/>
        <tr r="C25" s="3"/>
      </tp>
      <tp>
        <v>8.73</v>
        <stp/>
        <stp>LAST</stp>
        <stp>DDI</stp>
        <tr r="G33" s="2"/>
        <tr r="C24" s="3"/>
      </tp>
      <tp>
        <v>84.76</v>
        <stp/>
        <stp>LAST</stp>
        <stp>BYD</stp>
        <tr r="C14" s="3"/>
        <tr r="G17" s="2"/>
      </tp>
      <tp>
        <v>33.340000000000003</v>
        <stp/>
        <stp>LAST</stp>
        <stp>BTU</stp>
        <tr r="G16" s="2"/>
        <tr r="G15" s="2"/>
        <tr r="C13" s="3"/>
      </tp>
      <tp>
        <v>22.05</v>
        <stp/>
        <stp>LAST</stp>
        <stp>CVE</stp>
        <tr r="G32" s="2"/>
        <tr r="C23" s="3"/>
      </tp>
      <tp>
        <v>10.9</v>
        <stp/>
        <stp>LAST</stp>
        <stp>CHA</stp>
        <tr r="G20" s="2"/>
        <tr r="C16" s="3"/>
      </tp>
      <tp>
        <v>86.75</v>
        <stp/>
        <stp>LAST</stp>
        <stp>CNR</stp>
        <tr r="C19" s="3"/>
        <tr r="G24" s="2"/>
      </tp>
      <tp>
        <v>109.2299</v>
        <stp/>
        <stp>LAST</stp>
        <stp>COP</stp>
        <tr r="C20" s="3"/>
        <tr r="G25" s="2"/>
      </tp>
      <tp>
        <v>205.38</v>
        <stp/>
        <stp>LAST</stp>
        <stp>AZN</stp>
        <tr r="C12" s="3"/>
        <tr r="G14" s="2"/>
      </tp>
      <tp>
        <v>60.215000000000003</v>
        <stp/>
        <stp>LAST</stp>
        <stp>ASO</stp>
        <tr r="C10" s="3"/>
        <tr r="G10" s="2"/>
      </tp>
      <tp>
        <v>190.965</v>
        <stp/>
        <stp>LAST</stp>
        <stp>ACN</stp>
        <tr r="C7" s="3"/>
        <tr r="G7" s="2"/>
      </tp>
      <tp>
        <v>24.22</v>
        <stp/>
        <stp>LAST</stp>
        <stp>AEO</stp>
        <tr r="C8" s="3"/>
        <tr r="G8" s="2"/>
      </tp>
      <tp>
        <v>119.75</v>
        <stp/>
        <stp>LAST</stp>
        <stp>NXT</stp>
        <tr r="G75" s="2"/>
        <tr r="C42" s="3"/>
      </tp>
      <tp>
        <v>49.09</v>
        <stp/>
        <stp>LAST</stp>
        <stp>OVV</stp>
        <tr r="G79" s="2"/>
        <tr r="G78" s="2"/>
        <tr r="C44" s="3"/>
      </tp>
      <tp>
        <v>17.175000000000001</v>
        <stp/>
        <stp>LAST</stp>
        <stp>MAT</stp>
        <tr r="C38" s="3"/>
        <tr r="G65" s="2"/>
      </tp>
      <tp>
        <v>110.82</v>
        <stp/>
        <stp>LAST</stp>
        <stp>KOF</stp>
        <tr r="C36" s="3"/>
        <tr r="G63" s="2"/>
      </tp>
      <tp>
        <v>44.78</v>
        <stp/>
        <stp>LAST</stp>
        <stp>HNI</stp>
        <tr r="G62" s="2"/>
        <tr r="C35" s="3"/>
      </tp>
      <tp>
        <v>143.495</v>
        <stp/>
        <stp>LAST</stp>
        <stp>CRUS</stp>
        <tr r="G26" s="2"/>
        <tr r="C21" s="3"/>
      </tp>
      <tp>
        <v>397.21</v>
        <stp/>
        <stp>LAST</stp>
        <stp>MSFT</stp>
        <tr r="G72" s="2"/>
        <tr r="G71" s="2"/>
        <tr r="C40" s="3"/>
      </tp>
      <tp>
        <v>5.48</v>
        <stp/>
        <stp>LAST</stp>
        <stp>TPVG</stp>
        <tr r="G113" s="2"/>
        <tr r="G114" s="2"/>
        <tr r="C60" s="3"/>
      </tp>
      <tp>
        <v>8.0649999999999995</v>
        <stp/>
        <stp>LAST</stp>
        <stp>RWAY</stp>
        <tr r="C49" s="3"/>
        <tr r="G91" s="2"/>
        <tr r="G90" s="2"/>
        <tr r="G89" s="2"/>
        <tr r="G88" s="2"/>
      </tp>
      <tp>
        <v>60.84</v>
        <stp/>
        <stp>LAST</stp>
        <stp>CTSH</stp>
        <tr r="G31" s="2"/>
        <tr r="G30" s="2"/>
        <tr r="G28" s="2"/>
        <tr r="C22" s="3"/>
        <tr r="G29" s="2"/>
        <tr r="G27" s="2"/>
      </tp>
      <tp>
        <v>72.709999999999994</v>
        <stp/>
        <stp>LAST</stp>
        <stp>STNG</stp>
        <tr r="G99" s="2"/>
        <tr r="C55" s="3"/>
      </tp>
      <tp>
        <v>65.53</v>
        <stp/>
        <stp>LAST</stp>
        <stp>ATKR</stp>
        <tr r="G11" s="2"/>
        <tr r="G13" s="2"/>
        <tr r="G12" s="2"/>
        <tr r="C11" s="3"/>
      </tp>
      <tp>
        <v>56.09</v>
        <stp/>
        <stp>LAST</stp>
        <stp>YUMC</stp>
        <tr r="G137" s="2"/>
        <tr r="G136" s="2"/>
        <tr r="C68" s="3"/>
      </tp>
      <tp>
        <v>103.639</v>
        <stp/>
        <stp>LAST</stp>
        <stp>CHRD</stp>
        <tr r="G22" s="2"/>
        <tr r="G21" s="2"/>
        <tr r="C17" s="3"/>
      </tp>
      <tp>
        <v>27.38</v>
        <stp/>
        <stp>LAST</stp>
        <stp>CIVI</stp>
        <tr r="G23" s="2"/>
        <tr r="C18" s="3"/>
      </tp>
      <tp>
        <v>6.585</v>
        <stp/>
        <stp>LAST</stp>
        <stp>SITC</stp>
        <tr r="G97" s="2"/>
        <tr r="C53" s="3"/>
      </tp>
      <tp>
        <v>17.78</v>
        <stp/>
        <stp>LAST</stp>
        <stp>VIPS</stp>
        <tr r="G119" s="2"/>
        <tr r="G121" s="2"/>
        <tr r="G120" s="2"/>
        <tr r="C63" s="3"/>
      </tp>
      <tp>
        <v>29.934999999999999</v>
        <stp/>
        <stp>LAST</stp>
        <stp>VICI</stp>
        <tr r="G117" s="2"/>
        <tr r="G116" s="2"/>
        <tr r="G118" s="2"/>
        <tr r="C62" s="3"/>
      </tp>
      <tp>
        <v>5.6950000000000003</v>
        <stp/>
        <stp>LAST</stp>
        <stp>FINV</stp>
        <tr r="C27" s="3"/>
        <tr r="G38" s="2"/>
        <tr r="G37" s="2"/>
      </tp>
      <tp>
        <v>30.83</v>
        <stp/>
        <stp>LAST</stp>
        <stp>GIII</stp>
        <tr r="C30" s="3"/>
        <tr r="G48" s="2"/>
        <tr r="G46" s="2"/>
        <tr r="G47" s="2"/>
        <tr r="G45" s="2"/>
        <tr r="G44" s="2"/>
      </tp>
      <tp>
        <v>6.6150000000000002</v>
        <stp/>
        <stp>LAST</stp>
        <stp>MOMO</stp>
        <tr r="G70" s="2"/>
        <tr r="C39" s="3"/>
        <tr r="G68" s="2"/>
        <tr r="G66" s="2"/>
        <tr r="G69" s="2"/>
        <tr r="G67" s="2"/>
      </tp>
      <tp>
        <v>0.98499999999999999</v>
        <stp/>
        <stp>LAST</stp>
        <stp>AMTD</stp>
        <tr r="G9" s="2"/>
        <tr r="C9" s="3"/>
      </tp>
      <tp>
        <v>29.265000000000001</v>
        <stp/>
        <stp>LAST</stp>
        <stp>GMAB</stp>
        <tr r="C31" s="3"/>
        <tr r="G50" s="2"/>
        <tr r="G49" s="2"/>
      </tp>
      <tp>
        <v>64.6875</v>
        <stp/>
        <stp>LAST</stp>
        <stp>TMHC</stp>
        <tr r="G112" s="2"/>
        <tr r="G111" s="2"/>
        <tr r="G110" s="2"/>
        <tr r="C59" s="3"/>
      </tp>
      <tp>
        <v>39.424999999999997</v>
        <stp/>
        <stp>LAST</stp>
        <stp>NMIH</stp>
        <tr r="G74" s="2"/>
        <tr r="G73" s="2"/>
        <tr r="C41" s="3"/>
      </tp>
      <tp>
        <v>3.2050000000000001</v>
        <stp/>
        <stp>LAST</stp>
        <stp>ABEV</stp>
        <tr r="G2" s="2"/>
        <tr r="C5" s="3"/>
        <tr r="G5" s="2"/>
        <tr r="G4" s="2"/>
        <tr r="G3" s="2"/>
      </tp>
      <tp>
        <v>19.43</v>
        <stp/>
        <stp>LAST</stp>
        <stp>SCVL</stp>
        <tr r="C50" s="3"/>
        <tr r="G93" s="2"/>
        <tr r="G92" s="2"/>
        <tr r="G94" s="2"/>
      </tp>
      <tp>
        <v>77.19</v>
        <stp/>
        <stp>LAST</stp>
        <stp>VCTR</stp>
        <tr r="G115" s="2"/>
        <tr r="C61" s="3"/>
      </tp>
      <tp>
        <v>8.81</v>
        <stp/>
        <stp>LAST</stp>
        <stp>CCRN</stp>
        <tr r="C15" s="3"/>
        <tr r="G19" s="2"/>
        <tr r="G18" s="2"/>
      </tp>
      <tp>
        <v>79.739999999999995</v>
        <stp/>
        <stp>LAST</stp>
        <stp>ACLS</stp>
        <tr r="C6" s="3"/>
        <tr r="G6" s="2"/>
      </tp>
      <tp>
        <v>7.1950000000000003</v>
        <stp/>
        <stp>LAST</stp>
        <stp>HAFN</stp>
        <tr r="G57" s="2"/>
        <tr r="G54" s="2"/>
        <tr r="G53" s="2"/>
        <tr r="C33" s="3"/>
        <tr r="G58" s="2"/>
        <tr r="G56" s="2"/>
        <tr r="G55" s="2"/>
      </tp>
      <tp>
        <v>7.1550000000000002</v>
        <stp/>
        <stp>LAST</stp>
        <stp>YALA</stp>
        <tr r="G130" s="2"/>
        <tr r="C66" s="3"/>
      </tp>
      <tp>
        <v>20.984999999999999</v>
        <stp/>
        <stp>LAST</stp>
        <stp>TGNA</stp>
        <tr r="G102" s="2"/>
        <tr r="G108" s="2"/>
        <tr r="G107" s="2"/>
        <tr r="G106" s="2"/>
        <tr r="C57" s="3"/>
        <tr r="G105" s="2"/>
        <tr r="G104" s="2"/>
        <tr r="G103" s="2"/>
      </tp>
      <tp>
        <v>55.77</v>
        <stp/>
        <stp>LAST</stp>
        <stp>SU</stp>
        <tr r="G101" s="2"/>
        <tr r="G100" s="2"/>
        <tr r="C56" s="3"/>
      </tp>
      <tp>
        <v>85.82</v>
        <stp/>
        <stp>LAST</stp>
        <stp>ZM</stp>
        <tr r="G140" s="2"/>
        <tr r="G138" s="2"/>
        <tr r="G139" s="2"/>
        <tr r="C69" s="3"/>
      </tp>
      <tp>
        <v>70.38</v>
        <stp/>
        <stp>LAST</stp>
        <stp>ON</stp>
        <tr r="G77" s="2"/>
        <tr r="G76" s="2"/>
        <tr r="C43" s="3"/>
      </tp>
      <tp>
        <v>2.9449999999999998</v>
        <stp/>
        <stp>LAST</stp>
        <stp>LX</stp>
        <tr r="G64" s="2"/>
        <tr r="C37" s="3"/>
      </tp>
      <tp>
        <v>30.71</v>
        <stp/>
        <stp>LAST</stp>
        <stp>HG</stp>
        <tr r="G59" s="2"/>
        <tr r="G60" s="2"/>
        <tr r="G61" s="2"/>
        <tr r="C34" s="3"/>
      </tp>
      <tp>
        <v>37.71</v>
        <stp/>
        <stp>LAST</stp>
        <stp>G</stp>
        <tr r="C28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15874</xdr:rowOff>
    </xdr:from>
    <xdr:to>
      <xdr:col>17</xdr:col>
      <xdr:colOff>0</xdr:colOff>
      <xdr:row>2</xdr:row>
      <xdr:rowOff>182562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096752" y="15874"/>
          <a:ext cx="2293936" cy="563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200" b="1">
              <a:solidFill>
                <a:schemeClr val="accent2">
                  <a:lumMod val="75000"/>
                </a:schemeClr>
              </a:solidFill>
            </a:rPr>
          </a:br>
          <a:r>
            <a:rPr lang="en-US" sz="12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2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781050"/>
              <a:ext cx="7381876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4972050"/>
              <a:ext cx="7381875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78.486117129629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2">
        <s v="Oct"/>
        <s v="Nov"/>
        <s v="Dec"/>
        <s v="Jan"/>
        <s v="Feb"/>
        <s v="Mar"/>
        <s v="Apr"/>
        <s v="May"/>
        <s v="Jun"/>
        <s v="Jul"/>
        <s v="Aug"/>
        <s v="Sep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78.486117245367" createdVersion="8" refreshedVersion="8" minRefreshableVersion="3" recordCount="139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3T16:00:00" count="207">
        <d v="2025-05-05T09:30:00"/>
        <d v="2025-05-29T10:20:08"/>
        <d v="2025-08-05T09:30:05"/>
        <d v="2025-06-02T12:16:27"/>
        <d v="2025-08-05T09:30:00"/>
        <d v="2025-10-07T09:30:02"/>
        <d v="2025-05-29T16:08:43"/>
        <d v="2024-10-29T10:26:17"/>
        <d v="2025-05-05T07:00:07"/>
        <d v="2025-04-03T10:39:44"/>
        <d v="2025-08-05T09:30:21"/>
        <d v="2025-05-29T10:10:12"/>
        <d v="2025-07-02T09:30:02"/>
        <d v="2025-02-19T12:46:51"/>
        <d v="2025-01-06T09:26:14"/>
        <d v="2025-05-06T07:00:08"/>
        <d v="2024-10-14T12:31:17"/>
        <d v="2024-12-26T09:32:49"/>
        <d v="2025-09-02T09:30:07"/>
        <d v="2025-05-06T13:56:17"/>
        <d v="2025-03-03T13:36:12"/>
        <d v="2025-04-03T07:23:40"/>
        <d v="2025-05-05T09:30:01"/>
        <d v="2025-03-28T11:54:39"/>
        <d v="2025-03-31T09:25:00"/>
        <d v="2025-06-02T07:00:00"/>
        <d v="2025-09-02T09:30:02"/>
        <d v="2025-07-02T09:30:00"/>
        <d v="2025-08-05T09:30:02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3-31T07:00:00"/>
        <d v="2025-09-02T09:30:00"/>
        <d v="2024-11-12T09:57:10"/>
        <d v="2025-03-04T09:31:42"/>
        <d v="2025-06-03T09:32:01"/>
        <d v="2025-03-24T07:00:09"/>
        <d v="2025-07-02T09:59:19"/>
        <d v="2025-05-29T16:03:14"/>
        <d v="2024-11-13T09:29:59"/>
        <d v="2025-06-09T11:03:55"/>
        <d v="2025-03-31T08:41:49"/>
        <d v="2025-06-23T09:31:07"/>
        <d v="2025-03-31T07:33:55"/>
        <d v="2024-10-15T07:00:00"/>
        <d v="2025-05-05T16:05:00"/>
        <d v="2025-01-06T07:25:34"/>
        <d v="2025-01-06T09:25:32"/>
        <d v="2025-01-06T07:11:05"/>
        <d v="2025-01-06T07:13:59"/>
        <d v="2025-01-06T07:13:36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12-09T09:30:00"/>
        <d v="2025-06-02T09:30:32"/>
        <d v="2025-02-12T18:45:05"/>
        <d v="2024-12-10T12:00:02"/>
        <d v="2025-06-02T07:00:01"/>
        <d v="2025-09-02T09:30:04"/>
        <d v="2025-06-02T09:30:08"/>
        <d v="2025-03-31T07:00:01"/>
        <d v="2025-06-02T08:59:54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10-07T09:33:11"/>
        <d v="2025-07-02T10:02:1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4-10-09T07:00:00"/>
        <d v="2025-07-09T11:46:42"/>
        <d v="2026-02-09T09:30:00"/>
        <d v="2025-03-04T10:04:19"/>
        <d v="2026-02-23T16:00:00"/>
        <d v="2026-02-12T07:00:00" u="1"/>
        <d v="2026-02-12T13:29:14" u="1"/>
        <d v="2025-02-07T11:03:45" u="1"/>
        <d v="2025-03-04T10:05:22" u="1"/>
        <d v="2025-03-04T10:14:59" u="1"/>
        <d v="2025-04-04T07:00:43" u="1"/>
        <d v="2025-06-09T11:14:43" u="1"/>
        <d v="2025-04-04T12:22:28" u="1"/>
        <d v="2026-01-07T09:30:03" u="1"/>
        <d v="2026-02-11T09:30:01" u="1"/>
        <d v="2026-01-06T09:30:04" u="1"/>
        <d v="2025-12-01T09:30:01" u="1"/>
        <d v="2026-01-13T09:30:00" u="1"/>
        <d v="2026-02-06T09:30:02" u="1"/>
        <d v="2026-01-15T09:30:00" u="1"/>
        <d v="2025-11-26T09:31:37" u="1"/>
        <d v="2026-02-04T09:30:02" u="1"/>
        <d v="2025-12-29T07:00:10" u="1"/>
        <d v="2025-12-29T07:26:18" u="1"/>
        <d v="2025-12-29T08:48:30" u="1"/>
        <d v="2025-12-29T07:15:01" u="1"/>
        <d v="2026-02-12T09:30:01" u="1"/>
        <d v="2025-11-26T09:30:01" u="1"/>
        <d v="2026-02-05T20:49:27" u="1"/>
        <d v="2026-01-06T11:30:04" u="1"/>
        <d v="2026-02-05T10:56:42" u="1"/>
        <d v="2026-01-06T11:30:27" u="1"/>
        <d v="2026-01-06T09:30:01" u="1"/>
        <d v="2026-02-06T09:33:13" u="1"/>
        <d v="2026-02-04T15:41:11" u="1"/>
        <d v="2025-12-01T09:30:03" u="1"/>
        <d v="2026-01-15T09:30:02" u="1"/>
        <d v="2026-02-05T11:06:58" u="1"/>
        <d v="2026-02-05T20:49:52" u="1"/>
        <d v="2026-01-28T14:02:15" u="1"/>
        <d v="2026-01-12T09:37:09" u="1"/>
        <d v="2026-01-16T09:30:02" u="1"/>
        <d v="2026-02-06T09:30:01" u="1"/>
        <d v="2026-01-28T10:19:23" u="1"/>
        <d v="2026-02-04T09:36:59" u="1"/>
        <d v="2026-01-07T10:08:07" u="1"/>
        <d v="2026-02-06T09:54:18" u="1"/>
        <d v="2025-12-23T09:30:01" u="1"/>
        <d v="2026-02-09T09:39:12" u="1"/>
        <d v="2025-12-22T09:30:07" u="1"/>
        <d v="2025-11-19T09:30:02" u="1"/>
        <d v="2025-12-17T11:36:44" u="1"/>
        <d v="2026-01-22T10:32:26" u="1"/>
        <d v="2026-02-06T07:00:00" u="1"/>
        <d v="2025-12-23T09:30:00" u="1"/>
        <d v="2025-12-31T07:00:00" u="1"/>
        <d v="2025-12-31T07:00:15" u="1"/>
        <d v="2026-01-28T14:29:58" u="1"/>
        <d v="2026-02-04T09:30:01" u="1"/>
        <d v="2025-11-26T09:30:00" u="1"/>
        <d v="2026-02-17T09:30:02" u="1"/>
        <d v="2026-02-17T09:32:07" u="1"/>
        <d v="2025-12-15T09:30:02" u="1"/>
        <d v="2026-02-04T10:49:30" u="1"/>
        <d v="2025-12-24T09:30:00" u="1"/>
        <d v="2025-11-24T09:30:01" u="1"/>
        <d v="2026-01-08T09:30:00" u="1"/>
        <d v="2026-02-11T10:34:28" u="1"/>
        <d v="2026-01-06T10:08:12" u="1"/>
        <d v="2025-12-17T11:25:54" u="1"/>
        <d v="2026-02-12T09:33:22" u="1"/>
        <d v="2026-01-07T09:30:01" u="1"/>
        <d v="2025-12-01T09:30:02" u="1"/>
        <d v="2026-02-05T10:59:14" u="1"/>
        <d v="2026-02-09T09:30:03" u="1"/>
        <d v="2026-02-17T09:57:47" u="1"/>
        <d v="2026-02-04T09:30:00" u="1"/>
        <d v="2025-12-29T07:00:01" u="1"/>
        <d v="2026-02-06T09:45:14" u="1"/>
        <d v="2025-12-24T09:30:02" u="1"/>
        <d v="2025-12-19T09:30:00" u="1"/>
        <d v="2026-01-08T11:56:28" u="1"/>
        <d v="2026-01-12T09:30:01" u="1"/>
        <d v="2026-01-08T09:30:01" u="1"/>
        <d v="2026-02-05T11:04:04" u="1"/>
        <d v="2026-01-06T09:30:00" u="1"/>
        <d v="2026-01-28T09:30:01" u="1"/>
        <d v="2025-12-01T09:30:00" u="1"/>
        <d v="2026-01-06T09:30:03" u="1"/>
        <d v="2026-01-06T09:30:02" u="1"/>
        <d v="2026-01-05T09:35:02" u="1"/>
        <d v="2026-01-05T09:31:16" u="1"/>
        <d v="2026-02-19T09:46:12" u="1"/>
        <d v="2026-01-13T09:30:02" u="1"/>
        <d v="2025-12-22T09:39:09" u="1"/>
        <d v="2026-02-06T09:30:03" u="1"/>
        <d v="2026-01-16T09:30:00" u="1"/>
        <d v="2025-12-30T11:24:01" u="1"/>
        <d v="2026-02-10T09:01:46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23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VCTR"/>
        <s v="VICI"/>
        <s v="VIPS"/>
        <s v="WIT"/>
        <s v="XYF"/>
        <s v="YALA"/>
        <s v="YRD"/>
        <s v="YUMC"/>
        <s v="ZM"/>
        <s v="TTE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40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98499999999999999" maxValue="397.185"/>
    </cacheField>
    <cacheField name="Open P&amp;L" numFmtId="2">
      <sharedItems containsMixedTypes="1" containsNumber="1" minValue="-746.6500000000002" maxValue="1248.7500000000002"/>
    </cacheField>
    <cacheField name="Realized  P&amp;L" numFmtId="2">
      <sharedItems containsMixedTypes="1" containsNumber="1" minValue="-97.6" maxValue="1002.0000000000005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x v="0"/>
    <x v="0"/>
    <n v="200"/>
    <n v="2.4900000000000002"/>
    <n v="-498.00000000000006"/>
    <n v="2.398963855421687"/>
    <n v="3.2050000000000001"/>
    <n v="669.00999999999988"/>
    <s v=""/>
  </r>
  <r>
    <x v="1"/>
    <x v="0"/>
    <n v="200"/>
    <n v="2.4897"/>
    <n v="-497.94"/>
    <n v="2.398963855421687"/>
    <n v="3.2050000000000001"/>
    <n v="669.00999999999988"/>
    <s v=""/>
  </r>
  <r>
    <x v="2"/>
    <x v="0"/>
    <n v="225"/>
    <n v="2.2000000000000002"/>
    <n v="-495.00000000000006"/>
    <n v="2.398963855421687"/>
    <n v="3.2050000000000001"/>
    <n v="669.00999999999988"/>
    <s v=""/>
  </r>
  <r>
    <x v="3"/>
    <x v="0"/>
    <n v="205"/>
    <n v="2.44"/>
    <n v="-500.2"/>
    <n v="2.398963855421687"/>
    <n v="3.2050000000000001"/>
    <n v="669.00999999999988"/>
    <s v=""/>
  </r>
  <r>
    <x v="4"/>
    <x v="1"/>
    <n v="5"/>
    <n v="80"/>
    <n v="-400"/>
    <n v="80"/>
    <n v="79.739999999999995"/>
    <n v="-1.3000000000000256"/>
    <s v=""/>
  </r>
  <r>
    <x v="5"/>
    <x v="2"/>
    <n v="5"/>
    <n v="249.13"/>
    <n v="-1245.6500000000001"/>
    <n v="249.13000000000002"/>
    <n v="190.86"/>
    <n v="-291.35000000000002"/>
    <s v=""/>
  </r>
  <r>
    <x v="6"/>
    <x v="3"/>
    <n v="50"/>
    <n v="10.42"/>
    <n v="-521"/>
    <n v="10.42"/>
    <n v="24.24"/>
    <n v="690.99999999999989"/>
    <s v=""/>
  </r>
  <r>
    <x v="7"/>
    <x v="4"/>
    <n v="375"/>
    <n v="1.33"/>
    <n v="-498.75"/>
    <n v="1.33"/>
    <n v="0.98499999999999999"/>
    <n v="-129.37500000000003"/>
    <s v=""/>
  </r>
  <r>
    <x v="8"/>
    <x v="5"/>
    <n v="10"/>
    <n v="38.950000000000003"/>
    <n v="-389.5"/>
    <n v="38.950000000000003"/>
    <n v="60.215000000000003"/>
    <n v="212.65"/>
    <s v=""/>
  </r>
  <r>
    <x v="9"/>
    <x v="6"/>
    <n v="10"/>
    <n v="56"/>
    <n v="-560"/>
    <n v="61.995000000000005"/>
    <n v="65.53"/>
    <n v="70.699999999999932"/>
    <s v=""/>
  </r>
  <r>
    <x v="10"/>
    <x v="6"/>
    <n v="5"/>
    <n v="70"/>
    <n v="-350"/>
    <n v="61.995000000000005"/>
    <n v="65.53"/>
    <n v="70.699999999999932"/>
    <s v=""/>
  </r>
  <r>
    <x v="11"/>
    <x v="6"/>
    <n v="5"/>
    <n v="65.98"/>
    <n v="-329.90000000000003"/>
    <n v="61.995000000000005"/>
    <n v="65.53"/>
    <n v="70.699999999999932"/>
    <s v=""/>
  </r>
  <r>
    <x v="12"/>
    <x v="7"/>
    <n v="5"/>
    <n v="70.62"/>
    <n v="-353.1"/>
    <n v="70.62"/>
    <n v="205.38"/>
    <n v="673.8"/>
    <s v=""/>
  </r>
  <r>
    <x v="13"/>
    <x v="8"/>
    <n v="50"/>
    <n v="14.92"/>
    <n v="-746"/>
    <n v="16.690000000000001"/>
    <n v="33.340000000000003"/>
    <n v="1248.7500000000002"/>
    <s v=""/>
  </r>
  <r>
    <x v="14"/>
    <x v="8"/>
    <n v="25"/>
    <n v="20.23"/>
    <n v="-505.75"/>
    <n v="16.690000000000001"/>
    <n v="33.340000000000003"/>
    <n v="1248.7500000000002"/>
    <s v=""/>
  </r>
  <r>
    <x v="15"/>
    <x v="9"/>
    <n v="5"/>
    <n v="69.83"/>
    <n v="-349.15"/>
    <n v="69.83"/>
    <n v="84.76"/>
    <n v="74.650000000000034"/>
    <s v=""/>
  </r>
  <r>
    <x v="16"/>
    <x v="10"/>
    <n v="40"/>
    <n v="12.5"/>
    <n v="-500"/>
    <s v=""/>
    <n v="8.8000000000000007"/>
    <s v=""/>
    <s v=""/>
  </r>
  <r>
    <x v="17"/>
    <x v="10"/>
    <n v="-40"/>
    <n v="17.9404"/>
    <n v="717.61599999999999"/>
    <s v=""/>
    <n v="8.8000000000000007"/>
    <s v=""/>
    <n v="217.61600000000001"/>
  </r>
  <r>
    <x v="18"/>
    <x v="11"/>
    <n v="25"/>
    <n v="19"/>
    <n v="-475"/>
    <n v="19"/>
    <n v="10.9"/>
    <n v="-202.5"/>
    <s v=""/>
  </r>
  <r>
    <x v="19"/>
    <x v="12"/>
    <n v="5"/>
    <n v="90"/>
    <n v="-450"/>
    <n v="98.75"/>
    <n v="103.639"/>
    <n v="48.889999999999958"/>
    <s v=""/>
  </r>
  <r>
    <x v="20"/>
    <x v="12"/>
    <n v="5"/>
    <n v="107.5"/>
    <n v="-537.5"/>
    <n v="98.75"/>
    <n v="103.639"/>
    <n v="48.889999999999958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86.75"/>
    <n v="63.75"/>
    <s v=""/>
  </r>
  <r>
    <x v="22"/>
    <x v="15"/>
    <n v="5"/>
    <n v="89.69"/>
    <n v="-448.45"/>
    <n v="89.69"/>
    <n v="109.2"/>
    <n v="97.550000000000026"/>
    <s v=""/>
  </r>
  <r>
    <x v="23"/>
    <x v="16"/>
    <n v="5"/>
    <n v="100"/>
    <n v="-500"/>
    <n v="100"/>
    <n v="143.55000000000001"/>
    <n v="217.75000000000006"/>
    <s v=""/>
  </r>
  <r>
    <x v="24"/>
    <x v="17"/>
    <n v="5"/>
    <n v="75"/>
    <n v="-375"/>
    <n v="75.804000000000002"/>
    <n v="60.805"/>
    <n v="-374.97500000000008"/>
    <s v=""/>
  </r>
  <r>
    <x v="25"/>
    <x v="17"/>
    <n v="5"/>
    <n v="80.97"/>
    <n v="-404.85"/>
    <n v="75.804000000000002"/>
    <n v="60.805"/>
    <n v="-374.97500000000008"/>
    <s v=""/>
  </r>
  <r>
    <x v="26"/>
    <x v="17"/>
    <n v="5"/>
    <n v="71.489999999999995"/>
    <n v="-357.45"/>
    <n v="75.804000000000002"/>
    <n v="60.805"/>
    <n v="-374.97500000000008"/>
    <s v=""/>
  </r>
  <r>
    <x v="27"/>
    <x v="17"/>
    <n v="5"/>
    <n v="80.3"/>
    <n v="-401.5"/>
    <n v="75.804000000000002"/>
    <n v="60.805"/>
    <n v="-374.97500000000008"/>
    <s v=""/>
  </r>
  <r>
    <x v="28"/>
    <x v="17"/>
    <n v="5"/>
    <n v="71.260000000000005"/>
    <n v="-356.3"/>
    <n v="75.804000000000002"/>
    <n v="60.805"/>
    <n v="-374.97500000000008"/>
    <s v=""/>
  </r>
  <r>
    <x v="29"/>
    <x v="18"/>
    <n v="45"/>
    <n v="10.84"/>
    <n v="-487.8"/>
    <n v="10.84"/>
    <n v="22.05"/>
    <n v="504.45000000000005"/>
    <s v=""/>
  </r>
  <r>
    <x v="30"/>
    <x v="19"/>
    <n v="50"/>
    <n v="10.050000000000001"/>
    <n v="-502.50000000000006"/>
    <n v="10.050000000000001"/>
    <n v="8.73"/>
    <n v="-66.000000000000014"/>
    <s v=""/>
  </r>
  <r>
    <x v="31"/>
    <x v="20"/>
    <n v="5"/>
    <n v="91.76"/>
    <n v="-458.8"/>
    <n v="88.13"/>
    <n v="66.5"/>
    <n v="-216.29999999999995"/>
    <s v=""/>
  </r>
  <r>
    <x v="32"/>
    <x v="20"/>
    <n v="5"/>
    <n v="84.5"/>
    <n v="-422.5"/>
    <n v="88.13"/>
    <n v="66.5"/>
    <n v="-216.29999999999995"/>
    <s v=""/>
  </r>
  <r>
    <x v="33"/>
    <x v="21"/>
    <n v="10"/>
    <n v="44.5"/>
    <n v="-445"/>
    <n v="44.5"/>
    <n v="55.24"/>
    <n v="107.40000000000002"/>
    <s v=""/>
  </r>
  <r>
    <x v="34"/>
    <x v="22"/>
    <n v="10"/>
    <n v="8.36"/>
    <n v="-83.6"/>
    <n v="8.3600000000000012"/>
    <n v="5.6950000000000003"/>
    <n v="-159.90000000000006"/>
    <s v=""/>
  </r>
  <r>
    <x v="34"/>
    <x v="22"/>
    <n v="50"/>
    <n v="8.36"/>
    <n v="-418"/>
    <n v="8.3600000000000012"/>
    <n v="5.6950000000000003"/>
    <n v="-159.90000000000006"/>
    <s v=""/>
  </r>
  <r>
    <x v="5"/>
    <x v="23"/>
    <n v="10"/>
    <n v="41.15"/>
    <n v="-411.5"/>
    <n v="41.15"/>
    <n v="37.71"/>
    <n v="-34.399999999999977"/>
    <s v=""/>
  </r>
  <r>
    <x v="26"/>
    <x v="24"/>
    <n v="5"/>
    <n v="96.26"/>
    <n v="-481.3"/>
    <n v="94.537499999999994"/>
    <n v="70.650000000000006"/>
    <n v="-477.74999999999977"/>
    <s v=""/>
  </r>
  <r>
    <x v="35"/>
    <x v="24"/>
    <n v="5"/>
    <n v="96.75"/>
    <n v="-483.75"/>
    <n v="94.537499999999994"/>
    <n v="70.650000000000006"/>
    <n v="-477.74999999999977"/>
    <s v=""/>
  </r>
  <r>
    <x v="36"/>
    <x v="24"/>
    <n v="5"/>
    <n v="91.34"/>
    <n v="-456.70000000000005"/>
    <n v="94.537499999999994"/>
    <n v="70.650000000000006"/>
    <n v="-477.74999999999977"/>
    <s v=""/>
  </r>
  <r>
    <x v="37"/>
    <x v="24"/>
    <n v="5"/>
    <n v="93.8"/>
    <n v="-469"/>
    <n v="94.537499999999994"/>
    <n v="70.650000000000006"/>
    <n v="-477.74999999999977"/>
    <s v=""/>
  </r>
  <r>
    <x v="38"/>
    <x v="25"/>
    <n v="15"/>
    <n v="28.28"/>
    <n v="-424.20000000000005"/>
    <n v="26.404444444444444"/>
    <n v="30.83"/>
    <n v="398.2999999999999"/>
    <s v=""/>
  </r>
  <r>
    <x v="25"/>
    <x v="25"/>
    <n v="15"/>
    <n v="29.04"/>
    <n v="-435.59999999999997"/>
    <n v="26.404444444444444"/>
    <n v="30.83"/>
    <n v="398.2999999999999"/>
    <s v=""/>
  </r>
  <r>
    <x v="28"/>
    <x v="25"/>
    <n v="20"/>
    <n v="24.28"/>
    <n v="-485.6"/>
    <n v="26.404444444444444"/>
    <n v="30.83"/>
    <n v="398.2999999999999"/>
    <s v=""/>
  </r>
  <r>
    <x v="26"/>
    <x v="25"/>
    <n v="20"/>
    <n v="26.89"/>
    <n v="-537.79999999999995"/>
    <n v="26.404444444444444"/>
    <n v="30.83"/>
    <n v="398.2999999999999"/>
    <s v=""/>
  </r>
  <r>
    <x v="39"/>
    <x v="25"/>
    <n v="20"/>
    <n v="24.66"/>
    <n v="-493.2"/>
    <n v="26.404444444444444"/>
    <n v="30.83"/>
    <n v="398.2999999999999"/>
    <s v=""/>
  </r>
  <r>
    <x v="40"/>
    <x v="26"/>
    <n v="25"/>
    <n v="19.38"/>
    <n v="-484.5"/>
    <n v="22.228888888888889"/>
    <n v="29.27"/>
    <n v="316.84999999999997"/>
    <s v=""/>
  </r>
  <r>
    <x v="41"/>
    <x v="26"/>
    <n v="20"/>
    <n v="25.79"/>
    <n v="-515.79999999999995"/>
    <n v="22.228888888888889"/>
    <n v="29.27"/>
    <n v="316.84999999999997"/>
    <s v=""/>
  </r>
  <r>
    <x v="42"/>
    <x v="27"/>
    <n v="20"/>
    <n v="23.26"/>
    <n v="-465.20000000000005"/>
    <n v="22.004444444444445"/>
    <n v="39.405000000000001"/>
    <n v="783.02499999999998"/>
    <s v=""/>
  </r>
  <r>
    <x v="43"/>
    <x v="27"/>
    <n v="25"/>
    <n v="21"/>
    <n v="-525"/>
    <n v="22.004444444444445"/>
    <n v="39.405000000000001"/>
    <n v="783.02499999999998"/>
    <s v=""/>
  </r>
  <r>
    <x v="44"/>
    <x v="28"/>
    <n v="100"/>
    <n v="5"/>
    <n v="-500"/>
    <n v="5.1386556521739131"/>
    <n v="7.1950000000000003"/>
    <n v="1182.3980000000001"/>
    <s v=""/>
  </r>
  <r>
    <x v="45"/>
    <x v="28"/>
    <n v="115"/>
    <n v="4.3498000000000001"/>
    <n v="-500.22700000000003"/>
    <n v="5.1386556521739131"/>
    <n v="7.1950000000000003"/>
    <n v="1182.3980000000001"/>
    <s v=""/>
  </r>
  <r>
    <x v="46"/>
    <x v="28"/>
    <n v="100"/>
    <n v="4.99"/>
    <n v="-499"/>
    <n v="5.1386556521739131"/>
    <n v="7.1950000000000003"/>
    <n v="1182.3980000000001"/>
    <s v=""/>
  </r>
  <r>
    <x v="47"/>
    <x v="28"/>
    <n v="100"/>
    <n v="5"/>
    <n v="-500"/>
    <n v="5.1386556521739131"/>
    <n v="7.1950000000000003"/>
    <n v="1182.3980000000001"/>
    <s v=""/>
  </r>
  <r>
    <x v="4"/>
    <x v="28"/>
    <n v="85"/>
    <n v="5.85"/>
    <n v="-497.24999999999994"/>
    <n v="5.1386556521739131"/>
    <n v="7.1950000000000003"/>
    <n v="1182.3980000000001"/>
    <s v=""/>
  </r>
  <r>
    <x v="26"/>
    <x v="28"/>
    <n v="75"/>
    <n v="6.11"/>
    <n v="-458.25"/>
    <n v="5.1386556521739131"/>
    <n v="7.1950000000000003"/>
    <n v="1182.3980000000001"/>
    <s v=""/>
  </r>
  <r>
    <x v="48"/>
    <x v="29"/>
    <n v="25"/>
    <n v="17.809999999999999"/>
    <n v="-445.24999999999994"/>
    <n v="19.813333333333333"/>
    <n v="30.71"/>
    <n v="817.25000000000011"/>
    <s v=""/>
  </r>
  <r>
    <x v="49"/>
    <x v="29"/>
    <n v="25"/>
    <n v="20.63"/>
    <n v="-515.75"/>
    <n v="19.813333333333333"/>
    <n v="30.71"/>
    <n v="817.25000000000011"/>
    <s v=""/>
  </r>
  <r>
    <x v="50"/>
    <x v="29"/>
    <n v="25"/>
    <n v="21"/>
    <n v="-525"/>
    <n v="19.813333333333333"/>
    <n v="30.71"/>
    <n v="817.25000000000011"/>
    <s v=""/>
  </r>
  <r>
    <x v="51"/>
    <x v="30"/>
    <n v="10"/>
    <n v="46"/>
    <n v="-460"/>
    <n v="46"/>
    <n v="44.78"/>
    <n v="-12.199999999999989"/>
    <s v=""/>
  </r>
  <r>
    <x v="52"/>
    <x v="31"/>
    <n v="5"/>
    <n v="92"/>
    <n v="-460"/>
    <n v="92"/>
    <n v="110.82"/>
    <n v="94.099999999999966"/>
    <s v=""/>
  </r>
  <r>
    <x v="53"/>
    <x v="32"/>
    <n v="135"/>
    <n v="3.47"/>
    <n v="-468.45000000000005"/>
    <n v="3.47"/>
    <n v="2.94"/>
    <n v="-71.55000000000004"/>
    <s v=""/>
  </r>
  <r>
    <x v="54"/>
    <x v="33"/>
    <n v="30"/>
    <n v="16"/>
    <n v="-480"/>
    <n v="16"/>
    <n v="17.170000000000002"/>
    <n v="35.100000000000051"/>
    <s v=""/>
  </r>
  <r>
    <x v="55"/>
    <x v="34"/>
    <n v="5"/>
    <n v="7.18"/>
    <n v="-35.9"/>
    <n v="7.1799999999999979"/>
    <n v="6.6150000000000002"/>
    <n v="-36.724999999999852"/>
    <s v=""/>
  </r>
  <r>
    <x v="56"/>
    <x v="34"/>
    <n v="45"/>
    <n v="7.18"/>
    <n v="-323.09999999999997"/>
    <n v="7.1799999999999979"/>
    <n v="6.6150000000000002"/>
    <n v="-36.724999999999852"/>
    <s v=""/>
  </r>
  <r>
    <x v="57"/>
    <x v="34"/>
    <n v="5"/>
    <n v="7.18"/>
    <n v="-35.9"/>
    <n v="7.1799999999999979"/>
    <n v="6.6150000000000002"/>
    <n v="-36.724999999999852"/>
    <s v=""/>
  </r>
  <r>
    <x v="58"/>
    <x v="34"/>
    <n v="5"/>
    <n v="7.18"/>
    <n v="-35.9"/>
    <n v="7.1799999999999979"/>
    <n v="6.6150000000000002"/>
    <n v="-36.724999999999852"/>
    <s v=""/>
  </r>
  <r>
    <x v="59"/>
    <x v="34"/>
    <n v="5"/>
    <n v="7.18"/>
    <n v="-35.9"/>
    <n v="7.1799999999999979"/>
    <n v="6.6150000000000002"/>
    <n v="-36.724999999999852"/>
    <s v=""/>
  </r>
  <r>
    <x v="60"/>
    <x v="35"/>
    <n v="10"/>
    <n v="428"/>
    <n v="-4280"/>
    <s v=""/>
    <n v="397.185"/>
    <s v=""/>
    <s v=""/>
  </r>
  <r>
    <x v="61"/>
    <x v="35"/>
    <n v="-10"/>
    <n v="528.20000000000005"/>
    <n v="5282"/>
    <s v=""/>
    <n v="397.185"/>
    <s v=""/>
    <n v="1002.0000000000005"/>
  </r>
  <r>
    <x v="62"/>
    <x v="36"/>
    <n v="10"/>
    <n v="39"/>
    <n v="-390"/>
    <n v="35.4"/>
    <n v="39.424999999999997"/>
    <n v="100.62499999999997"/>
    <s v=""/>
  </r>
  <r>
    <x v="63"/>
    <x v="36"/>
    <n v="15"/>
    <n v="33"/>
    <n v="-495"/>
    <n v="35.4"/>
    <n v="39.424999999999997"/>
    <n v="100.62499999999997"/>
    <s v=""/>
  </r>
  <r>
    <x v="61"/>
    <x v="37"/>
    <n v="5"/>
    <n v="78.34"/>
    <n v="-391.70000000000005"/>
    <n v="78.34"/>
    <n v="119.75"/>
    <n v="207.04999999999998"/>
    <s v=""/>
  </r>
  <r>
    <x v="64"/>
    <x v="38"/>
    <n v="10"/>
    <n v="42"/>
    <n v="-420"/>
    <n v="42"/>
    <n v="70.41"/>
    <n v="568.19999999999993"/>
    <s v=""/>
  </r>
  <r>
    <x v="65"/>
    <x v="38"/>
    <n v="10"/>
    <n v="42"/>
    <n v="-420"/>
    <n v="42"/>
    <n v="70.41"/>
    <n v="568.19999999999993"/>
    <s v=""/>
  </r>
  <r>
    <x v="66"/>
    <x v="39"/>
    <n v="15"/>
    <n v="33.33"/>
    <n v="-499.95"/>
    <n v="34.646000000000001"/>
    <n v="49.13"/>
    <n v="362.1"/>
    <s v=""/>
  </r>
  <r>
    <x v="67"/>
    <x v="39"/>
    <n v="10"/>
    <n v="36.619999999999997"/>
    <n v="-366.2"/>
    <n v="34.646000000000001"/>
    <n v="49.13"/>
    <n v="362.1"/>
    <s v=""/>
  </r>
  <r>
    <x v="68"/>
    <x v="40"/>
    <n v="5"/>
    <n v="115.5"/>
    <n v="-577.5"/>
    <n v="115.33"/>
    <n v="106.86"/>
    <n v="-127.04999999999998"/>
    <s v=""/>
  </r>
  <r>
    <x v="69"/>
    <x v="40"/>
    <n v="5"/>
    <n v="96"/>
    <n v="-480"/>
    <n v="115.33"/>
    <n v="106.86"/>
    <n v="-127.04999999999998"/>
    <s v=""/>
  </r>
  <r>
    <x v="36"/>
    <x v="40"/>
    <n v="5"/>
    <n v="134.49"/>
    <n v="-672.45"/>
    <n v="115.33"/>
    <n v="106.86"/>
    <n v="-127.04999999999998"/>
    <s v=""/>
  </r>
  <r>
    <x v="70"/>
    <x v="41"/>
    <n v="5"/>
    <n v="54.5"/>
    <n v="-272.5"/>
    <n v="57.739999999999995"/>
    <n v="86.82"/>
    <n v="290.79999999999995"/>
    <s v=""/>
  </r>
  <r>
    <x v="71"/>
    <x v="41"/>
    <n v="5"/>
    <n v="60.98"/>
    <n v="-304.89999999999998"/>
    <n v="57.739999999999995"/>
    <n v="86.82"/>
    <n v="290.79999999999995"/>
    <s v=""/>
  </r>
  <r>
    <x v="36"/>
    <x v="42"/>
    <n v="5"/>
    <n v="132.53"/>
    <n v="-662.65"/>
    <n v="115.28"/>
    <n v="134.065"/>
    <n v="187.84999999999997"/>
    <s v=""/>
  </r>
  <r>
    <x v="72"/>
    <x v="42"/>
    <n v="5"/>
    <n v="98.03"/>
    <n v="-490.15"/>
    <n v="115.28"/>
    <n v="134.065"/>
    <n v="187.84999999999997"/>
    <s v=""/>
  </r>
  <r>
    <x v="73"/>
    <x v="43"/>
    <n v="10"/>
    <n v="42.14"/>
    <n v="-421.4"/>
    <n v="42.14"/>
    <n v="45.29"/>
    <n v="31.499999999999986"/>
    <s v=""/>
  </r>
  <r>
    <x v="74"/>
    <x v="44"/>
    <n v="45"/>
    <n v="9.93"/>
    <n v="-446.84999999999997"/>
    <n v="10.449107142857143"/>
    <n v="8.0649999999999995"/>
    <n v="-333.77500000000003"/>
    <s v=""/>
  </r>
  <r>
    <x v="75"/>
    <x v="44"/>
    <n v="45"/>
    <n v="10.805"/>
    <n v="-486.22499999999997"/>
    <n v="10.449107142857143"/>
    <n v="8.0649999999999995"/>
    <n v="-333.77500000000003"/>
    <s v=""/>
  </r>
  <r>
    <x v="35"/>
    <x v="44"/>
    <n v="45"/>
    <n v="10.67"/>
    <n v="-480.15"/>
    <n v="10.449107142857143"/>
    <n v="8.0649999999999995"/>
    <n v="-333.77500000000003"/>
    <s v=""/>
  </r>
  <r>
    <x v="76"/>
    <x v="44"/>
    <n v="5"/>
    <n v="9.93"/>
    <n v="-49.65"/>
    <n v="10.449107142857143"/>
    <n v="8.0649999999999995"/>
    <n v="-333.77500000000003"/>
    <s v=""/>
  </r>
  <r>
    <x v="77"/>
    <x v="45"/>
    <n v="25"/>
    <n v="18"/>
    <n v="-450"/>
    <n v="19"/>
    <n v="19.46"/>
    <n v="34.500000000000064"/>
    <s v=""/>
  </r>
  <r>
    <x v="78"/>
    <x v="45"/>
    <n v="25"/>
    <n v="20"/>
    <n v="-500"/>
    <n v="19"/>
    <n v="19.46"/>
    <n v="34.500000000000064"/>
    <s v=""/>
  </r>
  <r>
    <x v="79"/>
    <x v="45"/>
    <n v="25"/>
    <n v="19"/>
    <n v="-475"/>
    <n v="19"/>
    <n v="19.46"/>
    <n v="34.500000000000064"/>
    <s v=""/>
  </r>
  <r>
    <x v="80"/>
    <x v="46"/>
    <n v="20"/>
    <n v="22.52"/>
    <n v="-450.4"/>
    <n v="22.52"/>
    <n v="24.385000000000002"/>
    <n v="37.30000000000004"/>
    <s v=""/>
  </r>
  <r>
    <x v="81"/>
    <x v="47"/>
    <n v="30"/>
    <n v="11.8"/>
    <n v="-354"/>
    <n v="11.8"/>
    <n v="12.95"/>
    <n v="34.499999999999957"/>
    <s v=""/>
  </r>
  <r>
    <x v="82"/>
    <x v="48"/>
    <n v="30"/>
    <n v="17"/>
    <n v="-510"/>
    <n v="17"/>
    <n v="6.585"/>
    <n v="-312.45"/>
    <s v=""/>
  </r>
  <r>
    <x v="83"/>
    <x v="49"/>
    <n v="10"/>
    <n v="35.5"/>
    <n v="-355"/>
    <n v="35.5"/>
    <n v="80.53"/>
    <n v="450.3"/>
    <s v=""/>
  </r>
  <r>
    <x v="84"/>
    <x v="50"/>
    <n v="10"/>
    <n v="39.99"/>
    <n v="-399.90000000000003"/>
    <n v="39.99"/>
    <n v="72.709999999999994"/>
    <n v="327.19999999999993"/>
    <s v=""/>
  </r>
  <r>
    <x v="5"/>
    <x v="51"/>
    <n v="10"/>
    <n v="41.42"/>
    <n v="-414.20000000000005"/>
    <n v="38.464999999999996"/>
    <n v="55.77"/>
    <n v="346.10000000000014"/>
    <s v=""/>
  </r>
  <r>
    <x v="22"/>
    <x v="51"/>
    <n v="10"/>
    <n v="35.51"/>
    <n v="-355.09999999999997"/>
    <n v="38.464999999999996"/>
    <n v="55.77"/>
    <n v="346.10000000000014"/>
    <s v=""/>
  </r>
  <r>
    <x v="62"/>
    <x v="52"/>
    <n v="25"/>
    <n v="21.1"/>
    <n v="-527.5"/>
    <n v="17.355428571428572"/>
    <n v="20.984999999999999"/>
    <n v="635.17499999999984"/>
    <s v=""/>
  </r>
  <r>
    <x v="85"/>
    <x v="52"/>
    <n v="30"/>
    <n v="16.600000000000001"/>
    <n v="-498.00000000000006"/>
    <n v="17.355428571428572"/>
    <n v="20.984999999999999"/>
    <n v="635.17499999999984"/>
    <s v=""/>
  </r>
  <r>
    <x v="86"/>
    <x v="52"/>
    <n v="25"/>
    <n v="17"/>
    <n v="-425"/>
    <n v="17.355428571428572"/>
    <n v="20.984999999999999"/>
    <n v="635.17499999999984"/>
    <s v=""/>
  </r>
  <r>
    <x v="31"/>
    <x v="52"/>
    <n v="30"/>
    <n v="16.72"/>
    <n v="-501.59999999999997"/>
    <n v="17.355428571428572"/>
    <n v="20.984999999999999"/>
    <n v="635.17499999999984"/>
    <s v=""/>
  </r>
  <r>
    <x v="4"/>
    <x v="52"/>
    <n v="30"/>
    <n v="16.34"/>
    <n v="-490.2"/>
    <n v="17.355428571428572"/>
    <n v="20.984999999999999"/>
    <n v="635.17499999999984"/>
    <s v=""/>
  </r>
  <r>
    <x v="86"/>
    <x v="52"/>
    <n v="5"/>
    <n v="16.98"/>
    <n v="-84.9"/>
    <n v="17.355428571428572"/>
    <n v="20.984999999999999"/>
    <n v="635.17499999999984"/>
    <s v=""/>
  </r>
  <r>
    <x v="87"/>
    <x v="52"/>
    <n v="30"/>
    <n v="17"/>
    <n v="-510"/>
    <n v="17.355428571428572"/>
    <n v="20.984999999999999"/>
    <n v="635.17499999999984"/>
    <s v=""/>
  </r>
  <r>
    <x v="26"/>
    <x v="53"/>
    <n v="5"/>
    <n v="95.03"/>
    <n v="-475.15"/>
    <n v="95.03"/>
    <n v="115.36"/>
    <n v="101.64999999999999"/>
    <s v=""/>
  </r>
  <r>
    <x v="26"/>
    <x v="54"/>
    <n v="5"/>
    <n v="66.14"/>
    <n v="-330.7"/>
    <n v="65.206666666666663"/>
    <n v="64.7"/>
    <n v="-7.5999999999999091"/>
    <s v=""/>
  </r>
  <r>
    <x v="88"/>
    <x v="54"/>
    <n v="5"/>
    <n v="65.48"/>
    <n v="-327.40000000000003"/>
    <n v="65.206666666666663"/>
    <n v="64.7"/>
    <n v="-7.5999999999999091"/>
    <s v=""/>
  </r>
  <r>
    <x v="89"/>
    <x v="54"/>
    <n v="5"/>
    <n v="64"/>
    <n v="-320"/>
    <n v="65.206666666666663"/>
    <n v="64.7"/>
    <n v="-7.5999999999999091"/>
    <s v=""/>
  </r>
  <r>
    <x v="28"/>
    <x v="55"/>
    <n v="65"/>
    <n v="6.85"/>
    <n v="-445.25"/>
    <n v="6.85"/>
    <n v="5.48"/>
    <n v="-95.899999999999949"/>
    <s v=""/>
  </r>
  <r>
    <x v="28"/>
    <x v="55"/>
    <n v="5"/>
    <n v="6.85"/>
    <n v="-34.25"/>
    <n v="6.85"/>
    <n v="5.48"/>
    <n v="-95.899999999999949"/>
    <s v=""/>
  </r>
  <r>
    <x v="90"/>
    <x v="56"/>
    <n v="5"/>
    <n v="59"/>
    <n v="-295"/>
    <n v="59"/>
    <n v="77.19"/>
    <n v="90.949999999999989"/>
    <s v=""/>
  </r>
  <r>
    <x v="91"/>
    <x v="57"/>
    <n v="-15"/>
    <n v="28.05"/>
    <n v="420.75"/>
    <s v=""/>
    <n v="29.945"/>
    <s v=""/>
    <n v="-72.525000000000063"/>
  </r>
  <r>
    <x v="92"/>
    <x v="57"/>
    <n v="15"/>
    <n v="33.520000000000003"/>
    <n v="-502.80000000000007"/>
    <n v="32.885000000000005"/>
    <n v="29.945"/>
    <n v="-44.100000000000072"/>
    <s v=""/>
  </r>
  <r>
    <x v="36"/>
    <x v="57"/>
    <n v="15"/>
    <n v="32.25"/>
    <n v="-483.75"/>
    <n v="32.885000000000005"/>
    <n v="29.945"/>
    <n v="-44.100000000000072"/>
    <s v=""/>
  </r>
  <r>
    <x v="35"/>
    <x v="58"/>
    <n v="30"/>
    <n v="15.49"/>
    <n v="-464.7"/>
    <n v="14.765263157894738"/>
    <n v="17.78"/>
    <n v="286.39999999999998"/>
    <s v=""/>
  </r>
  <r>
    <x v="25"/>
    <x v="58"/>
    <n v="35"/>
    <n v="13.9"/>
    <n v="-486.5"/>
    <n v="14.765263157894738"/>
    <n v="17.78"/>
    <n v="286.39999999999998"/>
    <s v=""/>
  </r>
  <r>
    <x v="93"/>
    <x v="58"/>
    <n v="30"/>
    <n v="15.05"/>
    <n v="-451.5"/>
    <n v="14.765263157894738"/>
    <n v="17.78"/>
    <n v="286.39999999999998"/>
    <s v=""/>
  </r>
  <r>
    <x v="94"/>
    <x v="59"/>
    <n v="175"/>
    <n v="2.9083999999999999"/>
    <n v="-508.96999999999997"/>
    <n v="2.7845233644859815"/>
    <n v="2.16"/>
    <n v="-334.12"/>
    <s v=""/>
  </r>
  <r>
    <x v="95"/>
    <x v="59"/>
    <n v="175"/>
    <n v="2.75"/>
    <n v="-481.25"/>
    <n v="2.7845233644859815"/>
    <n v="2.16"/>
    <n v="-334.12"/>
    <s v=""/>
  </r>
  <r>
    <x v="35"/>
    <x v="59"/>
    <n v="185"/>
    <n v="2.7"/>
    <n v="-499.50000000000006"/>
    <n v="2.7845233644859815"/>
    <n v="2.16"/>
    <n v="-334.12"/>
    <s v=""/>
  </r>
  <r>
    <x v="26"/>
    <x v="60"/>
    <n v="30"/>
    <n v="15"/>
    <n v="-450"/>
    <n v="10.76346153846154"/>
    <n v="5.0199999999999996"/>
    <n v="-746.6500000000002"/>
    <s v=""/>
  </r>
  <r>
    <x v="35"/>
    <x v="60"/>
    <n v="35"/>
    <n v="13.74"/>
    <n v="-480.90000000000003"/>
    <n v="10.76346153846154"/>
    <n v="5.0199999999999996"/>
    <n v="-746.6500000000002"/>
    <s v=""/>
  </r>
  <r>
    <x v="96"/>
    <x v="60"/>
    <n v="40"/>
    <n v="7.21"/>
    <n v="-288.39999999999998"/>
    <n v="10.76346153846154"/>
    <n v="5.0199999999999996"/>
    <n v="-746.6500000000002"/>
    <s v=""/>
  </r>
  <r>
    <x v="97"/>
    <x v="60"/>
    <n v="5"/>
    <n v="7.15"/>
    <n v="-35.75"/>
    <n v="10.76346153846154"/>
    <n v="5.0199999999999996"/>
    <n v="-746.6500000000002"/>
    <s v=""/>
  </r>
  <r>
    <x v="98"/>
    <x v="60"/>
    <n v="20"/>
    <n v="7.21"/>
    <n v="-144.19999999999999"/>
    <n v="10.76346153846154"/>
    <n v="5.0199999999999996"/>
    <n v="-746.6500000000002"/>
    <s v=""/>
  </r>
  <r>
    <x v="99"/>
    <x v="61"/>
    <n v="100"/>
    <n v="4"/>
    <n v="-400"/>
    <n v="4"/>
    <n v="7.1550000000000002"/>
    <n v="315.5"/>
    <s v=""/>
  </r>
  <r>
    <x v="100"/>
    <x v="62"/>
    <n v="75"/>
    <n v="6.3"/>
    <n v="-472.5"/>
    <s v=""/>
    <n v="3.7349999999999999"/>
    <s v=""/>
    <s v=""/>
  </r>
  <r>
    <x v="101"/>
    <x v="62"/>
    <n v="-40"/>
    <n v="6"/>
    <n v="240"/>
    <s v=""/>
    <n v="3.7349999999999999"/>
    <s v=""/>
    <n v="-11.600000000000001"/>
  </r>
  <r>
    <x v="102"/>
    <x v="62"/>
    <n v="-40"/>
    <n v="3.85"/>
    <n v="154"/>
    <s v=""/>
    <n v="3.7349999999999999"/>
    <s v=""/>
    <n v="-97.6"/>
  </r>
  <r>
    <x v="103"/>
    <x v="62"/>
    <n v="25"/>
    <n v="6.26"/>
    <n v="-156.5"/>
    <s v=""/>
    <n v="3.7349999999999999"/>
    <s v=""/>
    <s v=""/>
  </r>
  <r>
    <x v="104"/>
    <x v="62"/>
    <n v="-20"/>
    <n v="3.73"/>
    <n v="74.599999999999994"/>
    <s v=""/>
    <n v="3.7349999999999999"/>
    <s v=""/>
    <n v="-51.2"/>
  </r>
  <r>
    <x v="5"/>
    <x v="63"/>
    <n v="10"/>
    <n v="43.19"/>
    <n v="-431.9"/>
    <n v="43.605000000000004"/>
    <n v="56.08"/>
    <n v="249.49999999999989"/>
    <s v=""/>
  </r>
  <r>
    <x v="62"/>
    <x v="63"/>
    <n v="10"/>
    <n v="44.02"/>
    <n v="-440.20000000000005"/>
    <n v="43.605000000000004"/>
    <n v="56.08"/>
    <n v="249.49999999999989"/>
    <s v=""/>
  </r>
  <r>
    <x v="27"/>
    <x v="64"/>
    <n v="5"/>
    <n v="77.099999999999994"/>
    <n v="-385.5"/>
    <n v="79.373333333333321"/>
    <n v="85.79"/>
    <n v="96.250000000000284"/>
    <s v=""/>
  </r>
  <r>
    <x v="25"/>
    <x v="64"/>
    <n v="5"/>
    <n v="80.989999999999995"/>
    <n v="-404.95"/>
    <n v="79.373333333333321"/>
    <n v="85.79"/>
    <n v="96.250000000000284"/>
    <s v=""/>
  </r>
  <r>
    <x v="26"/>
    <x v="64"/>
    <n v="5"/>
    <n v="80.03"/>
    <n v="-400.15"/>
    <n v="79.373333333333321"/>
    <n v="85.79"/>
    <n v="96.250000000000284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1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23" firstHeaderRow="0" firstDataRow="1" firstDataCol="1"/>
  <pivotFields count="5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19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/>
    </i>
    <i r="1">
      <x v="2"/>
    </i>
    <i>
      <x v="2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Net Spending" fld="4" baseField="0" baseItem="8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Net Spending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69" firstHeaderRow="0" firstDataRow="1" firstDataCol="1"/>
  <pivotFields count="11">
    <pivotField axis="axisRow" numFmtId="22" showAll="0">
      <items count="208">
        <item x="100"/>
        <item x="98"/>
        <item x="97"/>
        <item x="96"/>
        <item x="16"/>
        <item x="53"/>
        <item x="82"/>
        <item x="7"/>
        <item x="42"/>
        <item x="48"/>
        <item m="1" x="205"/>
        <item x="71"/>
        <item x="17"/>
        <item x="57"/>
        <item x="59"/>
        <item x="58"/>
        <item x="55"/>
        <item x="56"/>
        <item x="14"/>
        <item x="99"/>
        <item m="1" x="107"/>
        <item x="70"/>
        <item x="13"/>
        <item x="20"/>
        <item x="43"/>
        <item x="103"/>
        <item m="1" x="108"/>
        <item m="1" x="109"/>
        <item x="45"/>
        <item x="30"/>
        <item x="64"/>
        <item x="23"/>
        <item x="40"/>
        <item x="75"/>
        <item x="52"/>
        <item x="50"/>
        <item x="24"/>
        <item x="21"/>
        <item x="78"/>
        <item x="9"/>
        <item x="39"/>
        <item m="1" x="110"/>
        <item x="86"/>
        <item x="32"/>
        <item x="67"/>
        <item m="1" x="112"/>
        <item x="29"/>
        <item x="37"/>
        <item x="63"/>
        <item x="80"/>
        <item x="8"/>
        <item x="0"/>
        <item x="22"/>
        <item x="90"/>
        <item x="84"/>
        <item x="54"/>
        <item x="15"/>
        <item x="19"/>
        <item x="66"/>
        <item x="94"/>
        <item x="11"/>
        <item x="38"/>
        <item x="1"/>
        <item x="47"/>
        <item x="6"/>
        <item x="77"/>
        <item x="65"/>
        <item x="85"/>
        <item x="25"/>
        <item x="72"/>
        <item x="31"/>
        <item x="76"/>
        <item x="34"/>
        <item x="74"/>
        <item x="69"/>
        <item x="79"/>
        <item x="3"/>
        <item m="1" x="206"/>
        <item x="44"/>
        <item x="49"/>
        <item m="1" x="111"/>
        <item x="51"/>
        <item x="33"/>
        <item x="27"/>
        <item x="87"/>
        <item x="12"/>
        <item x="93"/>
        <item x="81"/>
        <item x="46"/>
        <item x="89"/>
        <item x="83"/>
        <item x="101"/>
        <item x="4"/>
        <item x="35"/>
        <item x="28"/>
        <item x="2"/>
        <item x="10"/>
        <item x="41"/>
        <item x="62"/>
        <item x="26"/>
        <item x="95"/>
        <item x="73"/>
        <item x="92"/>
        <item x="18"/>
        <item m="1" x="204"/>
        <item m="1" x="202"/>
        <item x="61"/>
        <item x="36"/>
        <item x="5"/>
        <item x="88"/>
        <item m="1" x="203"/>
        <item m="1" x="201"/>
        <item x="68"/>
        <item m="1" x="113"/>
        <item m="1" x="115"/>
        <item m="1" x="116"/>
        <item m="1" x="117"/>
        <item m="1" x="119"/>
        <item m="1" x="120"/>
        <item m="1" x="123"/>
        <item m="1" x="125"/>
        <item m="1" x="124"/>
        <item m="1" x="122"/>
        <item m="1" x="127"/>
        <item m="1" x="131"/>
        <item m="1" x="129"/>
        <item m="1" x="132"/>
        <item m="1" x="135"/>
        <item m="1" x="136"/>
        <item m="1" x="140"/>
        <item m="1" x="141"/>
        <item m="1" x="145"/>
        <item m="1" x="147"/>
        <item m="1" x="149"/>
        <item m="1" x="150"/>
        <item m="1" x="152"/>
        <item m="1" x="151"/>
        <item m="1" x="154"/>
        <item m="1" x="155"/>
        <item m="1" x="156"/>
        <item m="1" x="159"/>
        <item m="1" x="162"/>
        <item m="1" x="164"/>
        <item m="1" x="165"/>
        <item m="1" x="166"/>
        <item m="1" x="168"/>
        <item m="1" x="169"/>
        <item m="1" x="171"/>
        <item m="1" x="172"/>
        <item m="1" x="177"/>
        <item m="1" x="179"/>
        <item m="1" x="180"/>
        <item m="1" x="181"/>
        <item m="1" x="182"/>
        <item m="1" x="183"/>
        <item m="1" x="185"/>
        <item m="1" x="187"/>
        <item m="1" x="188"/>
        <item m="1" x="189"/>
        <item m="1" x="190"/>
        <item m="1" x="191"/>
        <item m="1" x="193"/>
        <item m="1" x="194"/>
        <item m="1" x="196"/>
        <item m="1" x="197"/>
        <item m="1" x="199"/>
        <item m="1" x="200"/>
        <item x="60"/>
        <item x="91"/>
        <item m="1" x="105"/>
        <item m="1" x="106"/>
        <item m="1" x="114"/>
        <item m="1" x="118"/>
        <item m="1" x="121"/>
        <item m="1" x="126"/>
        <item m="1" x="130"/>
        <item m="1" x="128"/>
        <item m="1" x="133"/>
        <item m="1" x="134"/>
        <item m="1" x="138"/>
        <item m="1" x="137"/>
        <item m="1" x="139"/>
        <item m="1" x="142"/>
        <item m="1" x="144"/>
        <item m="1" x="143"/>
        <item m="1" x="146"/>
        <item m="1" x="148"/>
        <item m="1" x="153"/>
        <item m="1" x="157"/>
        <item m="1" x="158"/>
        <item m="1" x="161"/>
        <item m="1" x="160"/>
        <item m="1" x="163"/>
        <item m="1" x="167"/>
        <item m="1" x="170"/>
        <item m="1" x="173"/>
        <item m="1" x="175"/>
        <item m="1" x="174"/>
        <item m="1" x="176"/>
        <item m="1" x="178"/>
        <item m="1" x="184"/>
        <item m="1" x="186"/>
        <item m="1" x="192"/>
        <item m="1" x="195"/>
        <item m="1" x="198"/>
        <item x="104"/>
        <item x="102"/>
        <item t="default"/>
      </items>
    </pivotField>
    <pivotField axis="axisRow" showAll="0" sortType="ascending">
      <items count="124">
        <item sd="0" m="1" x="66"/>
        <item sd="0" x="0"/>
        <item sd="0" m="1" x="67"/>
        <item sd="0" m="1" x="68"/>
        <item sd="0" x="1"/>
        <item sd="0" x="2"/>
        <item sd="0" x="3"/>
        <item sd="0" m="1" x="69"/>
        <item sd="0" m="1" x="70"/>
        <item sd="0" x="4"/>
        <item sd="0" x="5"/>
        <item sd="0" x="6"/>
        <item sd="0" m="1" x="71"/>
        <item sd="0" x="7"/>
        <item sd="0" m="1" x="72"/>
        <item sd="0" m="1" x="73"/>
        <item sd="0" m="1" x="74"/>
        <item sd="0" m="1" x="75"/>
        <item sd="0" x="8"/>
        <item sd="0" m="1" x="76"/>
        <item sd="0" x="9"/>
        <item sd="0" m="1" x="77"/>
        <item sd="0" x="10"/>
        <item sd="0" x="11"/>
        <item sd="0" x="12"/>
        <item sd="0" m="1" x="78"/>
        <item sd="0" x="13"/>
        <item sd="0" m="1" x="79"/>
        <item sd="0" m="1" x="80"/>
        <item sd="0" m="1" x="81"/>
        <item sd="0" m="1" x="82"/>
        <item sd="0" x="14"/>
        <item sd="0" x="15"/>
        <item sd="0" m="1" x="83"/>
        <item sd="0" x="16"/>
        <item sd="0" x="17"/>
        <item sd="0" x="18"/>
        <item sd="0" m="1" x="84"/>
        <item sd="0" x="19"/>
        <item sd="0" m="1" x="85"/>
        <item sd="0" x="20"/>
        <item sd="0" m="1" x="86"/>
        <item sd="0" m="1" x="87"/>
        <item sd="0" m="1" x="88"/>
        <item sd="0" x="21"/>
        <item sd="0" x="22"/>
        <item sd="0" m="1" x="89"/>
        <item sd="0" x="23"/>
        <item sd="0" m="1" x="90"/>
        <item sd="0" x="24"/>
        <item sd="0" x="25"/>
        <item sd="0" x="26"/>
        <item sd="0" m="1" x="91"/>
        <item sd="0" m="1" x="92"/>
        <item sd="0" x="27"/>
        <item sd="0" x="28"/>
        <item sd="0" x="29"/>
        <item sd="0" x="30"/>
        <item sd="0" m="1" x="93"/>
        <item sd="0" m="1" x="94"/>
        <item sd="0" m="1" x="95"/>
        <item sd="0" x="31"/>
        <item sd="0" m="1" x="96"/>
        <item sd="0" m="1" x="97"/>
        <item sd="0" m="1" x="98"/>
        <item sd="0" x="32"/>
        <item sd="0" x="33"/>
        <item sd="0" x="34"/>
        <item sd="0" x="35"/>
        <item sd="0" m="1" x="99"/>
        <item sd="0" m="1" x="100"/>
        <item sd="0" m="1" x="101"/>
        <item sd="0" x="36"/>
        <item sd="0" x="37"/>
        <item sd="0" m="1" x="102"/>
        <item sd="0" x="38"/>
        <item sd="0" x="39"/>
        <item sd="0" m="1" x="103"/>
        <item sd="0" x="40"/>
        <item sd="0" x="41"/>
        <item sd="0" x="42"/>
        <item sd="0" m="1" x="104"/>
        <item sd="0" m="1" x="105"/>
        <item sd="0" m="1" x="106"/>
        <item sd="0" m="1" x="107"/>
        <item sd="0" x="43"/>
        <item sd="0" m="1" x="108"/>
        <item sd="0" m="1" x="109"/>
        <item sd="0" x="44"/>
        <item sd="0" m="1" x="110"/>
        <item sd="0" m="1" x="111"/>
        <item sd="0" x="45"/>
        <item sd="0" x="46"/>
        <item sd="0" x="47"/>
        <item sd="0" m="1" x="112"/>
        <item sd="0" x="48"/>
        <item sd="0" m="1" x="113"/>
        <item sd="0" x="49"/>
        <item sd="0" m="1" x="114"/>
        <item sd="0" x="50"/>
        <item sd="0" m="1" x="115"/>
        <item sd="0" x="51"/>
        <item sd="0" x="52"/>
        <item sd="0" x="53"/>
        <item sd="0" m="1" x="116"/>
        <item sd="0" m="1" x="117"/>
        <item sd="0" x="54"/>
        <item sd="0" x="55"/>
        <item sd="0" m="1" x="65"/>
        <item sd="0" m="1" x="118"/>
        <item sd="0" x="56"/>
        <item sd="0" m="1" x="119"/>
        <item sd="0" x="57"/>
        <item sd="0" x="58"/>
        <item sd="0" x="59"/>
        <item sd="0" m="1" x="120"/>
        <item sd="0" m="1" x="121"/>
        <item sd="0" x="60"/>
        <item sd="0" x="61"/>
        <item sd="0" x="62"/>
        <item sd="0" x="63"/>
        <item sd="0" x="64"/>
        <item m="1" x="122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65">
    <i>
      <x v="1"/>
    </i>
    <i>
      <x v="4"/>
    </i>
    <i>
      <x v="5"/>
    </i>
    <i>
      <x v="6"/>
    </i>
    <i>
      <x v="9"/>
    </i>
    <i>
      <x v="10"/>
    </i>
    <i>
      <x v="11"/>
    </i>
    <i>
      <x v="13"/>
    </i>
    <i>
      <x v="18"/>
    </i>
    <i>
      <x v="20"/>
    </i>
    <i>
      <x v="22"/>
    </i>
    <i>
      <x v="23"/>
    </i>
    <i>
      <x v="24"/>
    </i>
    <i>
      <x v="26"/>
    </i>
    <i>
      <x v="31"/>
    </i>
    <i>
      <x v="32"/>
    </i>
    <i>
      <x v="34"/>
    </i>
    <i>
      <x v="35"/>
    </i>
    <i>
      <x v="36"/>
    </i>
    <i>
      <x v="38"/>
    </i>
    <i>
      <x v="40"/>
    </i>
    <i>
      <x v="44"/>
    </i>
    <i>
      <x v="45"/>
    </i>
    <i>
      <x v="47"/>
    </i>
    <i>
      <x v="49"/>
    </i>
    <i>
      <x v="50"/>
    </i>
    <i>
      <x v="51"/>
    </i>
    <i>
      <x v="54"/>
    </i>
    <i>
      <x v="55"/>
    </i>
    <i>
      <x v="56"/>
    </i>
    <i>
      <x v="57"/>
    </i>
    <i>
      <x v="61"/>
    </i>
    <i>
      <x v="65"/>
    </i>
    <i>
      <x v="66"/>
    </i>
    <i>
      <x v="67"/>
    </i>
    <i>
      <x v="68"/>
    </i>
    <i>
      <x v="72"/>
    </i>
    <i>
      <x v="73"/>
    </i>
    <i>
      <x v="75"/>
    </i>
    <i>
      <x v="76"/>
    </i>
    <i>
      <x v="78"/>
    </i>
    <i>
      <x v="79"/>
    </i>
    <i>
      <x v="80"/>
    </i>
    <i>
      <x v="85"/>
    </i>
    <i>
      <x v="88"/>
    </i>
    <i>
      <x v="91"/>
    </i>
    <i>
      <x v="92"/>
    </i>
    <i>
      <x v="93"/>
    </i>
    <i>
      <x v="95"/>
    </i>
    <i>
      <x v="97"/>
    </i>
    <i>
      <x v="99"/>
    </i>
    <i>
      <x v="101"/>
    </i>
    <i>
      <x v="102"/>
    </i>
    <i>
      <x v="103"/>
    </i>
    <i>
      <x v="106"/>
    </i>
    <i>
      <x v="107"/>
    </i>
    <i>
      <x v="110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15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1" count="50">
            <x v="1"/>
            <x v="4"/>
            <x v="5"/>
            <x v="6"/>
            <x v="9"/>
            <x v="10"/>
            <x v="11"/>
            <x v="13"/>
            <x v="18"/>
            <x v="20"/>
            <x v="22"/>
            <x v="23"/>
            <x v="24"/>
            <x v="26"/>
            <x v="31"/>
            <x v="32"/>
            <x v="34"/>
            <x v="35"/>
            <x v="36"/>
            <x v="38"/>
            <x v="40"/>
            <x v="44"/>
            <x v="45"/>
            <x v="47"/>
            <x v="49"/>
            <x v="50"/>
            <x v="51"/>
            <x v="54"/>
            <x v="55"/>
            <x v="56"/>
            <x v="57"/>
            <x v="61"/>
            <x v="65"/>
            <x v="66"/>
            <x v="67"/>
            <x v="72"/>
            <x v="73"/>
            <x v="75"/>
            <x v="76"/>
            <x v="78"/>
            <x v="79"/>
            <x v="80"/>
            <x v="85"/>
            <x v="88"/>
            <x v="91"/>
            <x v="92"/>
            <x v="93"/>
            <x v="95"/>
            <x v="97"/>
            <x v="99"/>
          </reference>
        </references>
      </pivotArea>
    </format>
    <format dxfId="43">
      <pivotArea dataOnly="0" labelOnly="1" fieldPosition="0">
        <references count="1">
          <reference field="1" count="15">
            <x v="101"/>
            <x v="102"/>
            <x v="103"/>
            <x v="106"/>
            <x v="107"/>
            <x v="108"/>
            <x v="110"/>
            <x v="112"/>
            <x v="113"/>
            <x v="114"/>
            <x v="117"/>
            <x v="118"/>
            <x v="119"/>
            <x v="120"/>
            <x v="121"/>
          </reference>
        </references>
      </pivotArea>
    </format>
    <format dxfId="42">
      <pivotArea field="1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8">
      <pivotArea outline="0" fieldPosition="0">
        <references count="1">
          <reference field="4294967294" count="1">
            <x v="4"/>
          </reference>
        </references>
      </pivotArea>
    </format>
    <format dxfId="37">
      <pivotArea outline="0" fieldPosition="0">
        <references count="1">
          <reference field="4294967294" count="1">
            <x v="5"/>
          </reference>
        </references>
      </pivotArea>
    </format>
    <format dxfId="36">
      <pivotArea outline="0" fieldPosition="0">
        <references count="1">
          <reference field="4294967294" count="1">
            <x v="1"/>
          </reference>
        </references>
      </pivotArea>
    </format>
    <format dxfId="35">
      <pivotArea outline="0" fieldPosition="0">
        <references count="1">
          <reference field="4294967294" count="1">
            <x v="2"/>
          </reference>
        </references>
      </pivotArea>
    </format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5">
    <queryTableFields count="5">
      <queryTableField id="4" name="Label" tableColumnId="4"/>
      <queryTableField id="1" name="Symbol" tableColumnId="1"/>
      <queryTableField id="10" name="Open P&amp;L Weight" tableColumnId="6"/>
      <queryTableField id="23" name="Net Spending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4">
    <queryTableFields count="5">
      <queryTableField id="1" name="Label" tableColumnId="1"/>
      <queryTableField id="2" name="Symbol" tableColumnId="2"/>
      <queryTableField id="3" name="Investment Weight" tableColumnId="3"/>
      <queryTableField id="12" name="Net Spending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31">
    <queryTableFields count="7">
      <queryTableField id="1" name="Symbol" tableColumnId="1"/>
      <queryTableField id="12" name="Current Qty" tableColumnId="2"/>
      <queryTableField id="16" dataBound="0" tableColumnId="10"/>
      <queryTableField id="13" name="Avg Price" tableColumnId="8"/>
      <queryTableField id="27" name="Net Spending" tableColumnId="4"/>
      <queryTableField id="30" dataBound="0" tableColumnId="5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6" tableType="queryTable" totalsRowShown="0">
  <autoFilter ref="A1:E66" xr:uid="{6BD07CA9-4F4B-4A25-810E-1B00D8281B93}"/>
  <sortState xmlns:xlrd2="http://schemas.microsoft.com/office/spreadsheetml/2017/richdata2" ref="A2:E66">
    <sortCondition descending="1" ref="A1:A66"/>
  </sortState>
  <tableColumns count="5">
    <tableColumn id="4" xr3:uid="{4E5A8584-760F-4450-85CF-0886A446E440}" uniqueName="4" name="Label" queryTableFieldId="4" dataDxfId="6" dataCellStyle="Percent"/>
    <tableColumn id="1" xr3:uid="{E7030DCB-F3FA-44CF-B44F-1860EA22FF9E}" uniqueName="1" name="Symbol" queryTableFieldId="1" dataDxfId="5" dataCellStyle="Percent"/>
    <tableColumn id="6" xr3:uid="{BBCA5263-9CFF-4070-9E95-F0282EB2A60C}" uniqueName="6" name="Open P&amp;L Weight" queryTableFieldId="10" dataDxfId="4" dataCellStyle="Percent"/>
    <tableColumn id="3" xr3:uid="{05FC552B-7346-4E8A-BABD-730BA70C927F}" uniqueName="3" name="Net Spending" queryTableFieldId="23" dataDxfId="3" dataCellStyle="Percent"/>
    <tableColumn id="2" xr3:uid="{734FCD8F-9186-4B45-991E-5B70D1ABA03E}" uniqueName="2" name="Open P&amp;L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G1:K66" tableType="queryTable" totalsRowShown="0">
  <autoFilter ref="G1:K66" xr:uid="{75427FA4-FAFD-4E65-B353-89B99EAB9E97}"/>
  <sortState xmlns:xlrd2="http://schemas.microsoft.com/office/spreadsheetml/2017/richdata2" ref="G2:K66">
    <sortCondition descending="1" ref="G1:G66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77744A3F-9F1C-4924-9507-EFD9EA6134E0}" uniqueName="4" name="Net Spending" queryTableFieldId="12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0" tableType="queryTable" totalsRowShown="0">
  <autoFilter ref="A1:I140" xr:uid="{113F2650-87C8-46A1-9368-DA40978948DC}"/>
  <sortState xmlns:xlrd2="http://schemas.microsoft.com/office/spreadsheetml/2017/richdata2" ref="A2:I140">
    <sortCondition ref="B1:B140"/>
  </sortState>
  <tableColumns count="9">
    <tableColumn id="7" xr3:uid="{23B1B625-E096-48FF-8012-0F592367D55B}" uniqueName="7" name="Exec Time" queryTableFieldId="7" dataDxfId="11"/>
    <tableColumn id="8" xr3:uid="{73811826-3DC1-44C8-8519-00D40F3712BA}" uniqueName="8" name="Symbol" queryTableFieldId="8" dataDxfId="48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0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9">
      <calculatedColumnFormula>RTD("tos.rtd", , "LAST", trades[[#This Row],[Symbol]])</calculatedColumnFormula>
    </tableColumn>
    <tableColumn id="5" xr3:uid="{FB396E8C-431D-4083-B1E0-84ECB24AA57A}" uniqueName="5" name="Open P&amp;L" queryTableFieldId="24" dataDxfId="8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7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69" tableType="queryTable" totalsRowShown="0">
  <autoFilter ref="A4:G69" xr:uid="{034BB017-46DE-49B5-B7E3-02F6BBD39449}"/>
  <sortState xmlns:xlrd2="http://schemas.microsoft.com/office/spreadsheetml/2017/richdata2" ref="A5:G69">
    <sortCondition ref="A4:A69"/>
  </sortState>
  <tableColumns count="7">
    <tableColumn id="1" xr3:uid="{AE65660A-F1D5-48FF-928A-B9FADD24B842}" uniqueName="1" name="Symbol" queryTableFieldId="1" dataDxfId="14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4" xr3:uid="{901AA90E-A1E8-40B1-A0F0-1C41FE600B44}" uniqueName="4" name="Net Spending" queryTableFieldId="27"/>
    <tableColumn id="5" xr3:uid="{F119762E-C9BB-4C34-8595-622F93898F6F}" uniqueName="5" name="Open P&amp;L" queryTableFieldId="30" dataDxfId="13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12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32">
  <autoFilter ref="A3:C18" xr:uid="{460051CA-F394-47FA-AEB2-2E3959D693B6}"/>
  <tableColumns count="3">
    <tableColumn id="1" xr3:uid="{7FE19C1B-CD7F-45FD-BC8D-588D95703151}" name="Month" totalsRowLabel="Total" dataDxfId="31" totalsRowDxfId="30"/>
    <tableColumn id="2" xr3:uid="{90090ED8-B9C9-4FCC-8295-5982C9FCEBDB}" name="Gross P&amp;L" totalsRowFunction="sum" dataDxfId="29" totalsRowDxfId="28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7" totalsRowDxfId="26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5">
  <autoFilter ref="A22:C34" xr:uid="{9F354428-4B06-4AC0-8DFA-4FB7DA150ACD}"/>
  <tableColumns count="3">
    <tableColumn id="1" xr3:uid="{BF491D01-8C5D-41F4-BA00-D9A05B62672C}" name="Month" totalsRowLabel="Total" dataDxfId="24" totalsRowDxfId="23"/>
    <tableColumn id="2" xr3:uid="{6FDA88A7-6C85-44FD-A7C2-A95343FF1A1D}" name="Gross P&amp;L" totalsRowFunction="sum" dataDxfId="22" totalsRowDxfId="21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20" totalsRowDxfId="19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T66"/>
  <sheetViews>
    <sheetView workbookViewId="0">
      <selection activeCell="M9" sqref="M9:T12"/>
    </sheetView>
  </sheetViews>
  <sheetFormatPr defaultRowHeight="15" x14ac:dyDescent="0.25"/>
  <cols>
    <col min="1" max="1" width="17" bestFit="1" customWidth="1"/>
    <col min="2" max="2" width="10" bestFit="1" customWidth="1"/>
    <col min="3" max="3" width="19" bestFit="1" customWidth="1"/>
    <col min="4" max="4" width="15.5703125" bestFit="1" customWidth="1"/>
    <col min="5" max="6" width="12" bestFit="1" customWidth="1"/>
    <col min="7" max="7" width="17" bestFit="1" customWidth="1"/>
    <col min="8" max="8" width="10" bestFit="1" customWidth="1"/>
    <col min="9" max="9" width="20.7109375" bestFit="1" customWidth="1"/>
    <col min="10" max="10" width="15.5703125" bestFit="1" customWidth="1"/>
    <col min="11" max="11" width="12" bestFit="1" customWidth="1"/>
    <col min="12" max="12" width="11.5703125" customWidth="1"/>
    <col min="13" max="13" width="12" bestFit="1" customWidth="1"/>
    <col min="14" max="14" width="12.28515625" customWidth="1"/>
    <col min="15" max="17" width="12" bestFit="1" customWidth="1"/>
    <col min="18" max="18" width="12.28515625" bestFit="1" customWidth="1"/>
    <col min="19" max="19" width="12" customWidth="1"/>
  </cols>
  <sheetData>
    <row r="1" spans="1:20" x14ac:dyDescent="0.25">
      <c r="A1" t="s">
        <v>18</v>
      </c>
      <c r="B1" t="s">
        <v>2</v>
      </c>
      <c r="C1" t="s">
        <v>28</v>
      </c>
      <c r="D1" t="s">
        <v>108</v>
      </c>
      <c r="E1" t="s">
        <v>8</v>
      </c>
      <c r="G1" t="s">
        <v>18</v>
      </c>
      <c r="H1" t="s">
        <v>2</v>
      </c>
      <c r="I1" t="s">
        <v>27</v>
      </c>
      <c r="J1" t="s">
        <v>108</v>
      </c>
      <c r="K1" t="s">
        <v>8</v>
      </c>
      <c r="M1" s="35" t="s">
        <v>32</v>
      </c>
      <c r="N1" s="36"/>
      <c r="O1" s="36"/>
      <c r="P1" s="36"/>
      <c r="Q1" s="36"/>
      <c r="R1" s="36"/>
      <c r="S1" s="36"/>
      <c r="T1" s="37"/>
    </row>
    <row r="2" spans="1:20" x14ac:dyDescent="0.25">
      <c r="A2" s="9" t="s">
        <v>19</v>
      </c>
      <c r="B2" s="9" t="s">
        <v>38</v>
      </c>
      <c r="C2" s="19">
        <v>3.8801173530067602E-2</v>
      </c>
      <c r="D2" s="9">
        <v>-1991.14</v>
      </c>
      <c r="E2" s="48">
        <v>668.15000000000009</v>
      </c>
      <c r="G2" t="s">
        <v>19</v>
      </c>
      <c r="H2" t="s">
        <v>38</v>
      </c>
      <c r="I2" s="19">
        <v>3.7012823456040803E-2</v>
      </c>
      <c r="J2" s="9">
        <v>-1991.14</v>
      </c>
      <c r="K2">
        <v>668.15000000000009</v>
      </c>
      <c r="M2" s="38"/>
      <c r="N2" s="39"/>
      <c r="O2" s="39"/>
      <c r="P2" s="39"/>
      <c r="Q2" s="39"/>
      <c r="R2" s="39"/>
      <c r="S2" s="39"/>
      <c r="T2" s="40"/>
    </row>
    <row r="3" spans="1:20" x14ac:dyDescent="0.25">
      <c r="A3" s="9" t="s">
        <v>19</v>
      </c>
      <c r="B3" s="9" t="s">
        <v>41</v>
      </c>
      <c r="C3" s="19">
        <v>4.0099094997398298E-2</v>
      </c>
      <c r="D3" s="9">
        <v>-521</v>
      </c>
      <c r="E3" s="48">
        <v>690.5</v>
      </c>
      <c r="G3" t="s">
        <v>19</v>
      </c>
      <c r="H3" t="s">
        <v>41</v>
      </c>
      <c r="I3" s="19">
        <v>9.6847439258903305E-3</v>
      </c>
      <c r="J3" s="9">
        <v>-521</v>
      </c>
      <c r="K3">
        <v>690.99999999999989</v>
      </c>
      <c r="M3" s="38"/>
      <c r="N3" s="39"/>
      <c r="O3" s="39"/>
      <c r="P3" s="39"/>
      <c r="Q3" s="39"/>
      <c r="R3" s="39"/>
      <c r="S3" s="39"/>
      <c r="T3" s="40"/>
    </row>
    <row r="4" spans="1:20" x14ac:dyDescent="0.25">
      <c r="A4" s="9" t="s">
        <v>19</v>
      </c>
      <c r="B4" s="9" t="s">
        <v>43</v>
      </c>
      <c r="C4" s="19">
        <v>1.23491275180257E-2</v>
      </c>
      <c r="D4" s="9">
        <v>-389.5</v>
      </c>
      <c r="E4" s="48">
        <v>212.65</v>
      </c>
      <c r="G4" t="s">
        <v>19</v>
      </c>
      <c r="H4" t="s">
        <v>43</v>
      </c>
      <c r="I4" s="19">
        <v>7.24032199449958E-3</v>
      </c>
      <c r="J4" s="9">
        <v>-389.5</v>
      </c>
      <c r="K4">
        <v>212.65</v>
      </c>
      <c r="M4" s="38"/>
      <c r="N4" s="39"/>
      <c r="O4" s="39"/>
      <c r="P4" s="39"/>
      <c r="Q4" s="39"/>
      <c r="R4" s="39"/>
      <c r="S4" s="39"/>
      <c r="T4" s="40"/>
    </row>
    <row r="5" spans="1:20" x14ac:dyDescent="0.25">
      <c r="A5" s="9" t="s">
        <v>19</v>
      </c>
      <c r="B5" s="9" t="s">
        <v>44</v>
      </c>
      <c r="C5" s="19">
        <v>4.0999219504943103E-3</v>
      </c>
      <c r="D5" s="9">
        <v>-1239.9000000000001</v>
      </c>
      <c r="E5" s="48">
        <v>70.600000000000023</v>
      </c>
      <c r="G5" t="s">
        <v>19</v>
      </c>
      <c r="H5" t="s">
        <v>44</v>
      </c>
      <c r="I5" s="19">
        <v>2.3048203442824201E-2</v>
      </c>
      <c r="J5" s="9">
        <v>-1239.9000000000001</v>
      </c>
      <c r="K5">
        <v>70.600000000000023</v>
      </c>
      <c r="M5" s="38"/>
      <c r="N5" s="39"/>
      <c r="O5" s="39"/>
      <c r="P5" s="39"/>
      <c r="Q5" s="39"/>
      <c r="R5" s="39"/>
      <c r="S5" s="39"/>
      <c r="T5" s="40"/>
    </row>
    <row r="6" spans="1:20" ht="15.75" thickBot="1" x14ac:dyDescent="0.3">
      <c r="A6" s="9" t="s">
        <v>19</v>
      </c>
      <c r="B6" s="9" t="s">
        <v>45</v>
      </c>
      <c r="C6" s="19">
        <v>3.9146705195867097E-2</v>
      </c>
      <c r="D6" s="9">
        <v>-353.1</v>
      </c>
      <c r="E6" s="48">
        <v>674.09999999999991</v>
      </c>
      <c r="G6" t="s">
        <v>19</v>
      </c>
      <c r="H6" t="s">
        <v>45</v>
      </c>
      <c r="I6" s="19">
        <v>6.5636911328826797E-3</v>
      </c>
      <c r="J6" s="9">
        <v>-353.1</v>
      </c>
      <c r="K6">
        <v>674.09999999999991</v>
      </c>
      <c r="M6" s="41"/>
      <c r="N6" s="42"/>
      <c r="O6" s="42"/>
      <c r="P6" s="42"/>
      <c r="Q6" s="42"/>
      <c r="R6" s="42"/>
      <c r="S6" s="42"/>
      <c r="T6" s="43"/>
    </row>
    <row r="7" spans="1:20" x14ac:dyDescent="0.25">
      <c r="A7" s="9" t="s">
        <v>19</v>
      </c>
      <c r="B7" s="9" t="s">
        <v>46</v>
      </c>
      <c r="C7" s="19">
        <v>7.2387432171262894E-2</v>
      </c>
      <c r="D7" s="9">
        <v>-1251.75</v>
      </c>
      <c r="E7" s="48">
        <v>1246.5</v>
      </c>
      <c r="G7" t="s">
        <v>19</v>
      </c>
      <c r="H7" t="s">
        <v>46</v>
      </c>
      <c r="I7" s="19">
        <v>2.3268480248048399E-2</v>
      </c>
      <c r="J7" s="9">
        <v>-1251.75</v>
      </c>
      <c r="K7">
        <v>1246.5</v>
      </c>
      <c r="M7" s="28"/>
      <c r="N7" s="28"/>
      <c r="O7" s="28"/>
      <c r="P7" s="28"/>
      <c r="Q7" s="28"/>
      <c r="R7" s="28"/>
      <c r="S7" s="28"/>
      <c r="T7" s="28"/>
    </row>
    <row r="8" spans="1:20" ht="15.75" thickBot="1" x14ac:dyDescent="0.3">
      <c r="A8" s="9" t="s">
        <v>19</v>
      </c>
      <c r="B8" s="9" t="s">
        <v>47</v>
      </c>
      <c r="C8" s="19">
        <v>4.3351157734334402E-3</v>
      </c>
      <c r="D8" s="9">
        <v>-349.15</v>
      </c>
      <c r="E8" s="48">
        <v>74.650000000000034</v>
      </c>
      <c r="G8" t="s">
        <v>19</v>
      </c>
      <c r="H8" t="s">
        <v>47</v>
      </c>
      <c r="I8" s="19">
        <v>6.4902655311412797E-3</v>
      </c>
      <c r="J8" s="9">
        <v>-349.15</v>
      </c>
      <c r="K8">
        <v>74.650000000000034</v>
      </c>
    </row>
    <row r="9" spans="1:20" x14ac:dyDescent="0.25">
      <c r="A9" s="9" t="s">
        <v>19</v>
      </c>
      <c r="B9" s="9" t="s">
        <v>50</v>
      </c>
      <c r="C9" s="19">
        <v>2.8391669144428701E-3</v>
      </c>
      <c r="D9" s="9">
        <v>-987.5</v>
      </c>
      <c r="E9" s="48">
        <v>48.889999999999958</v>
      </c>
      <c r="G9" t="s">
        <v>19</v>
      </c>
      <c r="H9" t="s">
        <v>50</v>
      </c>
      <c r="I9" s="19">
        <v>1.8356400435348801E-2</v>
      </c>
      <c r="J9" s="9">
        <v>-987.5</v>
      </c>
      <c r="K9">
        <v>48.889999999999958</v>
      </c>
      <c r="M9" s="35" t="s">
        <v>120</v>
      </c>
      <c r="N9" s="36"/>
      <c r="O9" s="36"/>
      <c r="P9" s="36"/>
      <c r="Q9" s="36"/>
      <c r="R9" s="36"/>
      <c r="S9" s="36"/>
      <c r="T9" s="37"/>
    </row>
    <row r="10" spans="1:20" x14ac:dyDescent="0.25">
      <c r="A10" s="9" t="s">
        <v>19</v>
      </c>
      <c r="B10" s="9" t="s">
        <v>52</v>
      </c>
      <c r="C10" s="19">
        <v>3.7021249907083901E-3</v>
      </c>
      <c r="D10" s="9">
        <v>-370</v>
      </c>
      <c r="E10" s="48">
        <v>63.75</v>
      </c>
      <c r="G10" t="s">
        <v>19</v>
      </c>
      <c r="H10" t="s">
        <v>52</v>
      </c>
      <c r="I10" s="19">
        <v>6.8778411757762399E-3</v>
      </c>
      <c r="J10" s="9">
        <v>-370</v>
      </c>
      <c r="K10">
        <v>63.75</v>
      </c>
      <c r="M10" s="38"/>
      <c r="N10" s="39"/>
      <c r="O10" s="39"/>
      <c r="P10" s="39"/>
      <c r="Q10" s="39"/>
      <c r="R10" s="39"/>
      <c r="S10" s="39"/>
      <c r="T10" s="40"/>
    </row>
    <row r="11" spans="1:20" x14ac:dyDescent="0.25">
      <c r="A11" s="9" t="s">
        <v>19</v>
      </c>
      <c r="B11" s="9" t="s">
        <v>53</v>
      </c>
      <c r="C11" s="19">
        <v>5.6664289563666103E-3</v>
      </c>
      <c r="D11" s="9">
        <v>-448.45</v>
      </c>
      <c r="E11" s="48">
        <v>97.575000000000003</v>
      </c>
      <c r="G11" t="s">
        <v>19</v>
      </c>
      <c r="H11" t="s">
        <v>53</v>
      </c>
      <c r="I11" s="19">
        <v>8.3361293926401507E-3</v>
      </c>
      <c r="J11" s="9">
        <v>-448.45</v>
      </c>
      <c r="K11">
        <v>97.575000000000003</v>
      </c>
      <c r="M11" s="38"/>
      <c r="N11" s="39"/>
      <c r="O11" s="39"/>
      <c r="P11" s="39"/>
      <c r="Q11" s="39"/>
      <c r="R11" s="39"/>
      <c r="S11" s="39"/>
      <c r="T11" s="40"/>
    </row>
    <row r="12" spans="1:20" ht="15.75" thickBot="1" x14ac:dyDescent="0.3">
      <c r="A12" s="9" t="s">
        <v>19</v>
      </c>
      <c r="B12" s="9" t="s">
        <v>54</v>
      </c>
      <c r="C12" s="19">
        <v>1.2645297517282401E-2</v>
      </c>
      <c r="D12" s="9">
        <v>-500</v>
      </c>
      <c r="E12" s="48">
        <v>217.75000000000006</v>
      </c>
      <c r="G12" t="s">
        <v>19</v>
      </c>
      <c r="H12" t="s">
        <v>54</v>
      </c>
      <c r="I12" s="19">
        <v>9.29437996726519E-3</v>
      </c>
      <c r="J12" s="9">
        <v>-500</v>
      </c>
      <c r="K12">
        <v>217.75000000000006</v>
      </c>
      <c r="M12" s="41"/>
      <c r="N12" s="42"/>
      <c r="O12" s="42"/>
      <c r="P12" s="42"/>
      <c r="Q12" s="42"/>
      <c r="R12" s="42"/>
      <c r="S12" s="42"/>
      <c r="T12" s="43"/>
    </row>
    <row r="13" spans="1:20" x14ac:dyDescent="0.25">
      <c r="A13" s="9" t="s">
        <v>19</v>
      </c>
      <c r="B13" s="9" t="s">
        <v>56</v>
      </c>
      <c r="C13" s="19">
        <v>2.9307763602913799E-2</v>
      </c>
      <c r="D13" s="9">
        <v>-487.8</v>
      </c>
      <c r="E13" s="48">
        <v>504.67500000000001</v>
      </c>
      <c r="G13" t="s">
        <v>19</v>
      </c>
      <c r="H13" t="s">
        <v>56</v>
      </c>
      <c r="I13" s="19">
        <v>9.0675970960639209E-3</v>
      </c>
      <c r="J13" s="9">
        <v>-487.8</v>
      </c>
      <c r="K13">
        <v>504.67500000000001</v>
      </c>
    </row>
    <row r="14" spans="1:20" x14ac:dyDescent="0.25">
      <c r="A14" s="9" t="s">
        <v>19</v>
      </c>
      <c r="B14" s="9" t="s">
        <v>59</v>
      </c>
      <c r="C14" s="19">
        <v>6.2369917490522602E-3</v>
      </c>
      <c r="D14" s="9">
        <v>-445</v>
      </c>
      <c r="E14" s="48">
        <v>107.40000000000002</v>
      </c>
      <c r="G14" t="s">
        <v>19</v>
      </c>
      <c r="H14" t="s">
        <v>59</v>
      </c>
      <c r="I14" s="19">
        <v>8.2719981708660201E-3</v>
      </c>
      <c r="J14" s="9">
        <v>-445</v>
      </c>
      <c r="K14">
        <v>107.40000000000002</v>
      </c>
    </row>
    <row r="15" spans="1:20" x14ac:dyDescent="0.25">
      <c r="A15" s="9" t="s">
        <v>19</v>
      </c>
      <c r="B15" s="9" t="s">
        <v>63</v>
      </c>
      <c r="C15" s="19">
        <v>2.3153525236006799E-2</v>
      </c>
      <c r="D15" s="9">
        <v>-2376.4</v>
      </c>
      <c r="E15" s="48">
        <v>398.7</v>
      </c>
      <c r="G15" t="s">
        <v>19</v>
      </c>
      <c r="H15" t="s">
        <v>63</v>
      </c>
      <c r="I15" s="19">
        <v>4.4174329108418002E-2</v>
      </c>
      <c r="J15" s="9">
        <v>-2376.4</v>
      </c>
      <c r="K15">
        <v>398.7</v>
      </c>
    </row>
    <row r="16" spans="1:20" x14ac:dyDescent="0.25">
      <c r="A16" s="9" t="s">
        <v>19</v>
      </c>
      <c r="B16" s="9" t="s">
        <v>64</v>
      </c>
      <c r="C16" s="19">
        <v>1.8397383483237901E-2</v>
      </c>
      <c r="D16" s="9">
        <v>-1000.3</v>
      </c>
      <c r="E16" s="48">
        <v>316.79999999999995</v>
      </c>
      <c r="G16" t="s">
        <v>19</v>
      </c>
      <c r="H16" t="s">
        <v>64</v>
      </c>
      <c r="I16" s="19">
        <v>1.8594336562510701E-2</v>
      </c>
      <c r="J16" s="9">
        <v>-1000.3</v>
      </c>
      <c r="K16">
        <v>316.79999999999995</v>
      </c>
    </row>
    <row r="17" spans="1:11" x14ac:dyDescent="0.25">
      <c r="A17" s="9" t="s">
        <v>19</v>
      </c>
      <c r="B17" s="9" t="s">
        <v>65</v>
      </c>
      <c r="C17" s="19">
        <v>4.5483872091726801E-2</v>
      </c>
      <c r="D17" s="9">
        <v>-990.2</v>
      </c>
      <c r="E17" s="48">
        <v>783.22500000000002</v>
      </c>
      <c r="G17" t="s">
        <v>19</v>
      </c>
      <c r="H17" t="s">
        <v>65</v>
      </c>
      <c r="I17" s="19">
        <v>1.8406590087171999E-2</v>
      </c>
      <c r="J17" s="9">
        <v>-990.2</v>
      </c>
      <c r="K17">
        <v>783.22500000000002</v>
      </c>
    </row>
    <row r="18" spans="1:11" x14ac:dyDescent="0.25">
      <c r="A18" s="9" t="s">
        <v>19</v>
      </c>
      <c r="B18" s="9" t="s">
        <v>66</v>
      </c>
      <c r="C18" s="19">
        <v>6.8619975563071506E-2</v>
      </c>
      <c r="D18" s="9">
        <v>-2954.73</v>
      </c>
      <c r="E18" s="48">
        <v>1181.6250000000005</v>
      </c>
      <c r="G18" t="s">
        <v>19</v>
      </c>
      <c r="H18" t="s">
        <v>66</v>
      </c>
      <c r="I18" s="19">
        <v>5.4924766641354997E-2</v>
      </c>
      <c r="J18" s="9">
        <v>-2954.73</v>
      </c>
      <c r="K18">
        <v>1181.6250000000005</v>
      </c>
    </row>
    <row r="19" spans="1:11" x14ac:dyDescent="0.25">
      <c r="A19" s="9" t="s">
        <v>19</v>
      </c>
      <c r="B19" s="9" t="s">
        <v>67</v>
      </c>
      <c r="C19" s="19">
        <v>4.7474308704378201E-2</v>
      </c>
      <c r="D19" s="9">
        <v>-1486</v>
      </c>
      <c r="E19" s="48">
        <v>817.50000000000011</v>
      </c>
      <c r="G19" t="s">
        <v>19</v>
      </c>
      <c r="H19" t="s">
        <v>67</v>
      </c>
      <c r="I19" s="19">
        <v>2.76228972627122E-2</v>
      </c>
      <c r="J19" s="9">
        <v>-1486</v>
      </c>
      <c r="K19">
        <v>817.50000000000011</v>
      </c>
    </row>
    <row r="20" spans="1:11" x14ac:dyDescent="0.25">
      <c r="A20" s="9" t="s">
        <v>19</v>
      </c>
      <c r="B20" s="9" t="s">
        <v>69</v>
      </c>
      <c r="C20" s="19">
        <v>5.4646268490299498E-3</v>
      </c>
      <c r="D20" s="9">
        <v>-460</v>
      </c>
      <c r="E20" s="48">
        <v>94.099999999999966</v>
      </c>
      <c r="G20" t="s">
        <v>19</v>
      </c>
      <c r="H20" t="s">
        <v>69</v>
      </c>
      <c r="I20" s="19">
        <v>8.5508295698839797E-3</v>
      </c>
      <c r="J20" s="9">
        <v>-460</v>
      </c>
      <c r="K20">
        <v>94.099999999999966</v>
      </c>
    </row>
    <row r="21" spans="1:11" x14ac:dyDescent="0.25">
      <c r="A21" s="9" t="s">
        <v>19</v>
      </c>
      <c r="B21" s="9" t="s">
        <v>71</v>
      </c>
      <c r="C21" s="19">
        <v>2.0383464654723901E-3</v>
      </c>
      <c r="D21" s="9">
        <v>-480</v>
      </c>
      <c r="E21" s="48">
        <v>35.100000000000051</v>
      </c>
      <c r="G21" t="s">
        <v>19</v>
      </c>
      <c r="H21" t="s">
        <v>71</v>
      </c>
      <c r="I21" s="19">
        <v>8.9226047685745796E-3</v>
      </c>
      <c r="J21" s="9">
        <v>-480</v>
      </c>
      <c r="K21">
        <v>35.100000000000051</v>
      </c>
    </row>
    <row r="22" spans="1:11" x14ac:dyDescent="0.25">
      <c r="A22" s="9" t="s">
        <v>19</v>
      </c>
      <c r="B22" s="9" t="s">
        <v>73</v>
      </c>
      <c r="C22" s="19">
        <v>5.8435502304318701E-3</v>
      </c>
      <c r="D22" s="9">
        <v>-885</v>
      </c>
      <c r="E22" s="48">
        <v>100.62499999999997</v>
      </c>
      <c r="G22" t="s">
        <v>19</v>
      </c>
      <c r="H22" t="s">
        <v>73</v>
      </c>
      <c r="I22" s="19">
        <v>1.6451052542059402E-2</v>
      </c>
      <c r="J22" s="9">
        <v>-885</v>
      </c>
      <c r="K22">
        <v>100.62499999999997</v>
      </c>
    </row>
    <row r="23" spans="1:11" x14ac:dyDescent="0.25">
      <c r="A23" s="9" t="s">
        <v>19</v>
      </c>
      <c r="B23" s="9" t="s">
        <v>74</v>
      </c>
      <c r="C23" s="19">
        <v>1.20239212443321E-2</v>
      </c>
      <c r="D23" s="9">
        <v>-391.7</v>
      </c>
      <c r="E23" s="48">
        <v>207.04999999999998</v>
      </c>
      <c r="G23" t="s">
        <v>19</v>
      </c>
      <c r="H23" t="s">
        <v>74</v>
      </c>
      <c r="I23" s="19">
        <v>7.28121726635555E-3</v>
      </c>
      <c r="J23" s="9">
        <v>-391.7</v>
      </c>
      <c r="K23">
        <v>207.04999999999998</v>
      </c>
    </row>
    <row r="24" spans="1:11" x14ac:dyDescent="0.25">
      <c r="A24" s="9" t="s">
        <v>19</v>
      </c>
      <c r="B24" s="9" t="s">
        <v>75</v>
      </c>
      <c r="C24" s="19">
        <v>3.2996822270125598E-2</v>
      </c>
      <c r="D24" s="9">
        <v>-840</v>
      </c>
      <c r="E24" s="48">
        <v>568.19999999999993</v>
      </c>
      <c r="G24" t="s">
        <v>19</v>
      </c>
      <c r="H24" t="s">
        <v>75</v>
      </c>
      <c r="I24" s="19">
        <v>1.56145583450055E-2</v>
      </c>
      <c r="J24" s="9">
        <v>-840</v>
      </c>
      <c r="K24">
        <v>568.19999999999993</v>
      </c>
    </row>
    <row r="25" spans="1:11" x14ac:dyDescent="0.25">
      <c r="A25" s="9" t="s">
        <v>19</v>
      </c>
      <c r="B25" s="9" t="s">
        <v>76</v>
      </c>
      <c r="C25" s="19">
        <v>2.1022262692336299E-2</v>
      </c>
      <c r="D25" s="9">
        <v>-866.15</v>
      </c>
      <c r="E25" s="48">
        <v>362.00000000000011</v>
      </c>
      <c r="G25" t="s">
        <v>19</v>
      </c>
      <c r="H25" t="s">
        <v>76</v>
      </c>
      <c r="I25" s="19">
        <v>1.6100654417293501E-2</v>
      </c>
      <c r="J25" s="9">
        <v>-866.15</v>
      </c>
      <c r="K25">
        <v>362.00000000000011</v>
      </c>
    </row>
    <row r="26" spans="1:11" x14ac:dyDescent="0.25">
      <c r="A26" s="9" t="s">
        <v>19</v>
      </c>
      <c r="B26" s="9" t="s">
        <v>78</v>
      </c>
      <c r="C26" s="19">
        <v>1.6887497212517599E-2</v>
      </c>
      <c r="D26" s="9">
        <v>-577.4</v>
      </c>
      <c r="E26" s="48">
        <v>290.7999999999999</v>
      </c>
      <c r="G26" t="s">
        <v>19</v>
      </c>
      <c r="H26" t="s">
        <v>78</v>
      </c>
      <c r="I26" s="19">
        <v>1.07331499861978E-2</v>
      </c>
      <c r="J26" s="9">
        <v>-577.4</v>
      </c>
      <c r="K26">
        <v>290.7999999999999</v>
      </c>
    </row>
    <row r="27" spans="1:11" x14ac:dyDescent="0.25">
      <c r="A27" s="9" t="s">
        <v>19</v>
      </c>
      <c r="B27" s="9" t="s">
        <v>79</v>
      </c>
      <c r="C27" s="19">
        <v>1.0908928305954101E-2</v>
      </c>
      <c r="D27" s="9">
        <v>-1152.8</v>
      </c>
      <c r="E27" s="48">
        <v>187.84999999999997</v>
      </c>
      <c r="G27" t="s">
        <v>19</v>
      </c>
      <c r="H27" t="s">
        <v>79</v>
      </c>
      <c r="I27" s="19">
        <v>2.1429122452526601E-2</v>
      </c>
      <c r="J27" s="9">
        <v>-1152.8</v>
      </c>
      <c r="K27">
        <v>187.84999999999997</v>
      </c>
    </row>
    <row r="28" spans="1:11" x14ac:dyDescent="0.25">
      <c r="A28" s="9" t="s">
        <v>19</v>
      </c>
      <c r="B28" s="9" t="s">
        <v>80</v>
      </c>
      <c r="C28" s="19">
        <v>1.8292852895264999E-3</v>
      </c>
      <c r="D28" s="9">
        <v>-421.4</v>
      </c>
      <c r="E28" s="48">
        <v>31.499999999999986</v>
      </c>
      <c r="G28" t="s">
        <v>19</v>
      </c>
      <c r="H28" t="s">
        <v>80</v>
      </c>
      <c r="I28" s="19">
        <v>7.8333034364110998E-3</v>
      </c>
      <c r="J28" s="9">
        <v>-421.4</v>
      </c>
      <c r="K28">
        <v>31.499999999999986</v>
      </c>
    </row>
    <row r="29" spans="1:11" x14ac:dyDescent="0.25">
      <c r="A29" s="9" t="s">
        <v>19</v>
      </c>
      <c r="B29" s="9" t="s">
        <v>82</v>
      </c>
      <c r="C29" s="19">
        <v>2.00350293614807E-3</v>
      </c>
      <c r="D29" s="9">
        <v>-1425</v>
      </c>
      <c r="E29" s="48">
        <v>34.500000000000064</v>
      </c>
      <c r="G29" t="s">
        <v>19</v>
      </c>
      <c r="H29" t="s">
        <v>82</v>
      </c>
      <c r="I29" s="19">
        <v>2.6488982906705798E-2</v>
      </c>
      <c r="J29" s="9">
        <v>-1425</v>
      </c>
      <c r="K29">
        <v>34.500000000000064</v>
      </c>
    </row>
    <row r="30" spans="1:11" x14ac:dyDescent="0.25">
      <c r="A30" s="9" t="s">
        <v>19</v>
      </c>
      <c r="B30" s="9" t="s">
        <v>83</v>
      </c>
      <c r="C30" s="19">
        <v>2.1661060729948698E-3</v>
      </c>
      <c r="D30" s="9">
        <v>-450.4</v>
      </c>
      <c r="E30" s="48">
        <v>37.30000000000004</v>
      </c>
      <c r="G30" t="s">
        <v>19</v>
      </c>
      <c r="H30" t="s">
        <v>83</v>
      </c>
      <c r="I30" s="19">
        <v>8.3723774745124799E-3</v>
      </c>
      <c r="J30" s="9">
        <v>-450.4</v>
      </c>
      <c r="K30">
        <v>37.30000000000004</v>
      </c>
    </row>
    <row r="31" spans="1:11" x14ac:dyDescent="0.25">
      <c r="A31" s="9" t="s">
        <v>19</v>
      </c>
      <c r="B31" s="9" t="s">
        <v>84</v>
      </c>
      <c r="C31" s="19">
        <v>2.00350293614807E-3</v>
      </c>
      <c r="D31" s="9">
        <v>-354</v>
      </c>
      <c r="E31" s="48">
        <v>34.499999999999957</v>
      </c>
      <c r="G31" t="s">
        <v>19</v>
      </c>
      <c r="H31" t="s">
        <v>84</v>
      </c>
      <c r="I31" s="19">
        <v>6.5804210168237598E-3</v>
      </c>
      <c r="J31" s="9">
        <v>-354</v>
      </c>
      <c r="K31">
        <v>34.499999999999957</v>
      </c>
    </row>
    <row r="32" spans="1:11" x14ac:dyDescent="0.25">
      <c r="A32" s="9" t="s">
        <v>19</v>
      </c>
      <c r="B32" s="9" t="s">
        <v>86</v>
      </c>
      <c r="C32" s="19">
        <v>2.6150068757897899E-2</v>
      </c>
      <c r="D32" s="9">
        <v>-355</v>
      </c>
      <c r="E32" s="48">
        <v>450.3</v>
      </c>
      <c r="G32" t="s">
        <v>19</v>
      </c>
      <c r="H32" t="s">
        <v>86</v>
      </c>
      <c r="I32" s="19">
        <v>6.5990097767582899E-3</v>
      </c>
      <c r="J32" s="9">
        <v>-355</v>
      </c>
      <c r="K32">
        <v>450.3</v>
      </c>
    </row>
    <row r="33" spans="1:11" x14ac:dyDescent="0.25">
      <c r="A33" s="9" t="s">
        <v>19</v>
      </c>
      <c r="B33" s="9" t="s">
        <v>87</v>
      </c>
      <c r="C33" s="19">
        <v>1.9001337991526E-2</v>
      </c>
      <c r="D33" s="9">
        <v>-399.9</v>
      </c>
      <c r="E33" s="48">
        <v>327.19999999999993</v>
      </c>
      <c r="G33" t="s">
        <v>19</v>
      </c>
      <c r="H33" t="s">
        <v>87</v>
      </c>
      <c r="I33" s="19">
        <v>7.4336450978187002E-3</v>
      </c>
      <c r="J33" s="9">
        <v>-399.9</v>
      </c>
      <c r="K33">
        <v>327.19999999999993</v>
      </c>
    </row>
    <row r="34" spans="1:11" x14ac:dyDescent="0.25">
      <c r="A34" s="9" t="s">
        <v>19</v>
      </c>
      <c r="B34" s="9" t="s">
        <v>88</v>
      </c>
      <c r="C34" s="19">
        <v>2.0127945439678899E-2</v>
      </c>
      <c r="D34" s="9">
        <v>-769.3</v>
      </c>
      <c r="E34" s="48">
        <v>346.59999999999997</v>
      </c>
      <c r="G34" t="s">
        <v>19</v>
      </c>
      <c r="H34" t="s">
        <v>88</v>
      </c>
      <c r="I34" s="19">
        <v>1.43003330176342E-2</v>
      </c>
      <c r="J34" s="9">
        <v>-769.3</v>
      </c>
      <c r="K34">
        <v>346.59999999999997</v>
      </c>
    </row>
    <row r="35" spans="1:11" x14ac:dyDescent="0.25">
      <c r="A35" s="9" t="s">
        <v>19</v>
      </c>
      <c r="B35" s="9" t="s">
        <v>89</v>
      </c>
      <c r="C35" s="19">
        <v>3.6839773191853102E-2</v>
      </c>
      <c r="D35" s="9">
        <v>-3037.2</v>
      </c>
      <c r="E35" s="48">
        <v>634.375</v>
      </c>
      <c r="G35" t="s">
        <v>19</v>
      </c>
      <c r="H35" t="s">
        <v>89</v>
      </c>
      <c r="I35" s="19">
        <v>5.6457781673155703E-2</v>
      </c>
      <c r="J35" s="9">
        <v>-3037.2</v>
      </c>
      <c r="K35">
        <v>634.375</v>
      </c>
    </row>
    <row r="36" spans="1:11" x14ac:dyDescent="0.25">
      <c r="A36" s="9" t="s">
        <v>19</v>
      </c>
      <c r="B36" s="9" t="s">
        <v>90</v>
      </c>
      <c r="C36" s="19">
        <v>5.8914600832527999E-3</v>
      </c>
      <c r="D36" s="9">
        <v>-475.15</v>
      </c>
      <c r="E36" s="48">
        <v>101.44999999999996</v>
      </c>
      <c r="G36" t="s">
        <v>19</v>
      </c>
      <c r="H36" t="s">
        <v>90</v>
      </c>
      <c r="I36" s="19">
        <v>8.8324492828921099E-3</v>
      </c>
      <c r="J36" s="9">
        <v>-475.15</v>
      </c>
      <c r="K36">
        <v>101.52499999999996</v>
      </c>
    </row>
    <row r="37" spans="1:11" x14ac:dyDescent="0.25">
      <c r="A37" s="9" t="s">
        <v>19</v>
      </c>
      <c r="B37" s="9" t="s">
        <v>93</v>
      </c>
      <c r="C37" s="19">
        <v>5.2816983200773097E-3</v>
      </c>
      <c r="D37" s="9">
        <v>-295</v>
      </c>
      <c r="E37" s="48">
        <v>90.949999999999989</v>
      </c>
      <c r="G37" t="s">
        <v>19</v>
      </c>
      <c r="H37" t="s">
        <v>93</v>
      </c>
      <c r="I37" s="19">
        <v>5.4836841806864597E-3</v>
      </c>
      <c r="J37" s="9">
        <v>-295</v>
      </c>
      <c r="K37">
        <v>90.949999999999989</v>
      </c>
    </row>
    <row r="38" spans="1:11" x14ac:dyDescent="0.25">
      <c r="A38" s="9" t="s">
        <v>19</v>
      </c>
      <c r="B38" s="9" t="s">
        <v>95</v>
      </c>
      <c r="C38" s="19">
        <v>1.6605845350479501E-2</v>
      </c>
      <c r="D38" s="9">
        <v>-1402.7</v>
      </c>
      <c r="E38" s="48">
        <v>285.95000000000016</v>
      </c>
      <c r="G38" t="s">
        <v>19</v>
      </c>
      <c r="H38" t="s">
        <v>95</v>
      </c>
      <c r="I38" s="19">
        <v>2.60744535601658E-2</v>
      </c>
      <c r="J38" s="9">
        <v>-1402.7</v>
      </c>
      <c r="K38">
        <v>285.95000000000016</v>
      </c>
    </row>
    <row r="39" spans="1:11" x14ac:dyDescent="0.25">
      <c r="A39" s="9" t="s">
        <v>19</v>
      </c>
      <c r="B39" s="9" t="s">
        <v>98</v>
      </c>
      <c r="C39" s="19">
        <v>1.8321889169701899E-2</v>
      </c>
      <c r="D39" s="9">
        <v>-400</v>
      </c>
      <c r="E39" s="48">
        <v>315.5</v>
      </c>
      <c r="G39" t="s">
        <v>19</v>
      </c>
      <c r="H39" t="s">
        <v>98</v>
      </c>
      <c r="I39" s="19">
        <v>7.4355039738121503E-3</v>
      </c>
      <c r="J39" s="9">
        <v>-400</v>
      </c>
      <c r="K39">
        <v>315.5</v>
      </c>
    </row>
    <row r="40" spans="1:11" x14ac:dyDescent="0.25">
      <c r="A40" s="9" t="s">
        <v>19</v>
      </c>
      <c r="B40" s="9" t="s">
        <v>100</v>
      </c>
      <c r="C40" s="19">
        <v>1.44949081989147E-2</v>
      </c>
      <c r="D40" s="9">
        <v>-872.1</v>
      </c>
      <c r="E40" s="48">
        <v>249.59999999999994</v>
      </c>
      <c r="G40" t="s">
        <v>19</v>
      </c>
      <c r="H40" t="s">
        <v>100</v>
      </c>
      <c r="I40" s="19">
        <v>1.6211257538904001E-2</v>
      </c>
      <c r="J40" s="9">
        <v>-872.1</v>
      </c>
      <c r="K40">
        <v>249.59999999999994</v>
      </c>
    </row>
    <row r="41" spans="1:11" x14ac:dyDescent="0.25">
      <c r="A41" s="9" t="s">
        <v>19</v>
      </c>
      <c r="B41" s="9" t="s">
        <v>101</v>
      </c>
      <c r="C41" s="19">
        <v>5.5836755742213603E-3</v>
      </c>
      <c r="D41" s="9">
        <v>-1190.5999999999999</v>
      </c>
      <c r="E41" s="48">
        <v>96.149999999999949</v>
      </c>
      <c r="G41" t="s">
        <v>19</v>
      </c>
      <c r="H41" t="s">
        <v>101</v>
      </c>
      <c r="I41" s="19">
        <v>2.21317775780519E-2</v>
      </c>
      <c r="J41" s="9">
        <v>-1190.5999999999999</v>
      </c>
      <c r="K41">
        <v>96.149999999999949</v>
      </c>
    </row>
    <row r="42" spans="1:11" x14ac:dyDescent="0.25">
      <c r="A42" s="9" t="s">
        <v>20</v>
      </c>
      <c r="B42" s="9" t="s">
        <v>39</v>
      </c>
      <c r="C42" s="19">
        <v>7.54943135360158E-5</v>
      </c>
      <c r="D42" s="9">
        <v>-400</v>
      </c>
      <c r="E42" s="48">
        <v>-1.3000000000000256</v>
      </c>
      <c r="G42" t="s">
        <v>20</v>
      </c>
      <c r="H42" t="s">
        <v>39</v>
      </c>
      <c r="I42" s="19">
        <v>7.4355039738121503E-3</v>
      </c>
      <c r="J42" s="9">
        <v>-400</v>
      </c>
      <c r="K42">
        <v>-1.3000000000000256</v>
      </c>
    </row>
    <row r="43" spans="1:11" x14ac:dyDescent="0.25">
      <c r="A43" s="9" t="s">
        <v>20</v>
      </c>
      <c r="B43" s="9" t="s">
        <v>40</v>
      </c>
      <c r="C43" s="19">
        <v>1.6931051624173001E-2</v>
      </c>
      <c r="D43" s="9">
        <v>-1245.6500000000001</v>
      </c>
      <c r="E43" s="48">
        <v>-291.55</v>
      </c>
      <c r="G43" t="s">
        <v>20</v>
      </c>
      <c r="H43" t="s">
        <v>40</v>
      </c>
      <c r="I43" s="19">
        <v>2.3155088812447801E-2</v>
      </c>
      <c r="J43" s="9">
        <v>-1245.6500000000001</v>
      </c>
      <c r="K43">
        <v>-291.55</v>
      </c>
    </row>
    <row r="44" spans="1:11" x14ac:dyDescent="0.25">
      <c r="A44" s="9" t="s">
        <v>20</v>
      </c>
      <c r="B44" s="9" t="s">
        <v>42</v>
      </c>
      <c r="C44" s="19">
        <v>7.5131360105552703E-3</v>
      </c>
      <c r="D44" s="9">
        <v>-498.75</v>
      </c>
      <c r="E44" s="48">
        <v>-129.37500000000003</v>
      </c>
      <c r="G44" t="s">
        <v>20</v>
      </c>
      <c r="H44" t="s">
        <v>42</v>
      </c>
      <c r="I44" s="19">
        <v>9.2711440173470303E-3</v>
      </c>
      <c r="J44" s="9">
        <v>-498.75</v>
      </c>
      <c r="K44">
        <v>-129.37500000000003</v>
      </c>
    </row>
    <row r="45" spans="1:11" x14ac:dyDescent="0.25">
      <c r="A45" s="9" t="s">
        <v>20</v>
      </c>
      <c r="B45" s="9" t="s">
        <v>49</v>
      </c>
      <c r="C45" s="19">
        <v>1.1759691146956099E-2</v>
      </c>
      <c r="D45" s="9">
        <v>-475</v>
      </c>
      <c r="E45" s="48">
        <v>-202.5</v>
      </c>
      <c r="G45" t="s">
        <v>20</v>
      </c>
      <c r="H45" t="s">
        <v>49</v>
      </c>
      <c r="I45" s="19">
        <v>8.8296609689019305E-3</v>
      </c>
      <c r="J45" s="9">
        <v>-475</v>
      </c>
      <c r="K45">
        <v>-202.5</v>
      </c>
    </row>
    <row r="46" spans="1:11" x14ac:dyDescent="0.25">
      <c r="A46" s="9" t="s">
        <v>20</v>
      </c>
      <c r="B46" s="9" t="s">
        <v>51</v>
      </c>
      <c r="C46" s="19">
        <v>5.1829749869917504E-3</v>
      </c>
      <c r="D46" s="9">
        <v>-499.95</v>
      </c>
      <c r="E46" s="48">
        <v>-89.249999999999986</v>
      </c>
      <c r="G46" t="s">
        <v>20</v>
      </c>
      <c r="H46" t="s">
        <v>51</v>
      </c>
      <c r="I46" s="19">
        <v>9.2934505292684606E-3</v>
      </c>
      <c r="J46" s="9">
        <v>-499.95</v>
      </c>
      <c r="K46">
        <v>-89.249999999999986</v>
      </c>
    </row>
    <row r="47" spans="1:11" x14ac:dyDescent="0.25">
      <c r="A47" s="9" t="s">
        <v>20</v>
      </c>
      <c r="B47" s="9" t="s">
        <v>55</v>
      </c>
      <c r="C47" s="19">
        <v>2.1769946759087201E-2</v>
      </c>
      <c r="D47" s="9">
        <v>-1895.1</v>
      </c>
      <c r="E47" s="48">
        <v>-374.87499999999994</v>
      </c>
      <c r="G47" t="s">
        <v>20</v>
      </c>
      <c r="H47" t="s">
        <v>55</v>
      </c>
      <c r="I47" s="19">
        <v>3.52275589519285E-2</v>
      </c>
      <c r="J47" s="9">
        <v>-1895.1</v>
      </c>
      <c r="K47">
        <v>-374.87499999999994</v>
      </c>
    </row>
    <row r="48" spans="1:11" x14ac:dyDescent="0.25">
      <c r="A48" s="9" t="s">
        <v>20</v>
      </c>
      <c r="B48" s="9" t="s">
        <v>57</v>
      </c>
      <c r="C48" s="19">
        <v>3.8327882256745699E-3</v>
      </c>
      <c r="D48" s="9">
        <v>-502.5</v>
      </c>
      <c r="E48" s="48">
        <v>-66.000000000000014</v>
      </c>
      <c r="G48" t="s">
        <v>20</v>
      </c>
      <c r="H48" t="s">
        <v>57</v>
      </c>
      <c r="I48" s="19">
        <v>9.3408518671015198E-3</v>
      </c>
      <c r="J48" s="9">
        <v>-502.5</v>
      </c>
      <c r="K48">
        <v>-66.000000000000014</v>
      </c>
    </row>
    <row r="49" spans="1:11" x14ac:dyDescent="0.25">
      <c r="A49" s="9" t="s">
        <v>20</v>
      </c>
      <c r="B49" s="9" t="s">
        <v>58</v>
      </c>
      <c r="C49" s="19">
        <v>1.2595935850739599E-2</v>
      </c>
      <c r="D49" s="9">
        <v>-881.3</v>
      </c>
      <c r="E49" s="48">
        <v>-216.89999999999998</v>
      </c>
      <c r="G49" t="s">
        <v>20</v>
      </c>
      <c r="H49" t="s">
        <v>58</v>
      </c>
      <c r="I49" s="19">
        <v>1.6382274130301602E-2</v>
      </c>
      <c r="J49" s="9">
        <v>-881.3</v>
      </c>
      <c r="K49">
        <v>-216.59999999999997</v>
      </c>
    </row>
    <row r="50" spans="1:11" x14ac:dyDescent="0.25">
      <c r="A50" s="9" t="s">
        <v>20</v>
      </c>
      <c r="B50" s="9" t="s">
        <v>60</v>
      </c>
      <c r="C50" s="19">
        <v>9.2858005649297509E-3</v>
      </c>
      <c r="D50" s="9">
        <v>-501.6</v>
      </c>
      <c r="E50" s="48">
        <v>-159.89999999999995</v>
      </c>
      <c r="G50" t="s">
        <v>20</v>
      </c>
      <c r="H50" t="s">
        <v>60</v>
      </c>
      <c r="I50" s="19">
        <v>9.3241219831604397E-3</v>
      </c>
      <c r="J50" s="9">
        <v>-501.6</v>
      </c>
      <c r="K50">
        <v>-159.89999999999995</v>
      </c>
    </row>
    <row r="51" spans="1:11" x14ac:dyDescent="0.25">
      <c r="A51" s="9" t="s">
        <v>20</v>
      </c>
      <c r="B51" s="9" t="s">
        <v>61</v>
      </c>
      <c r="C51" s="19">
        <v>1.9976956812606801E-3</v>
      </c>
      <c r="D51" s="9">
        <v>-411.5</v>
      </c>
      <c r="E51" s="48">
        <v>-34.399999999999977</v>
      </c>
      <c r="G51" t="s">
        <v>20</v>
      </c>
      <c r="H51" t="s">
        <v>61</v>
      </c>
      <c r="I51" s="19">
        <v>7.6492747130592498E-3</v>
      </c>
      <c r="J51" s="9">
        <v>-411.5</v>
      </c>
      <c r="K51">
        <v>-34.399999999999977</v>
      </c>
    </row>
    <row r="52" spans="1:11" x14ac:dyDescent="0.25">
      <c r="A52" s="9" t="s">
        <v>20</v>
      </c>
      <c r="B52" s="9" t="s">
        <v>62</v>
      </c>
      <c r="C52" s="19">
        <v>2.7747063851928901E-2</v>
      </c>
      <c r="D52" s="9">
        <v>-1890.75</v>
      </c>
      <c r="E52" s="48">
        <v>-477.8</v>
      </c>
      <c r="G52" t="s">
        <v>20</v>
      </c>
      <c r="H52" t="s">
        <v>62</v>
      </c>
      <c r="I52" s="19">
        <v>3.5146697846213298E-2</v>
      </c>
      <c r="J52" s="9">
        <v>-1890.75</v>
      </c>
      <c r="K52">
        <v>-477.8</v>
      </c>
    </row>
    <row r="53" spans="1:11" x14ac:dyDescent="0.25">
      <c r="A53" s="9" t="s">
        <v>20</v>
      </c>
      <c r="B53" s="9" t="s">
        <v>68</v>
      </c>
      <c r="C53" s="19">
        <v>7.08485096261056E-4</v>
      </c>
      <c r="D53" s="9">
        <v>-460</v>
      </c>
      <c r="E53" s="48">
        <v>-12.199999999999989</v>
      </c>
      <c r="G53" t="s">
        <v>20</v>
      </c>
      <c r="H53" t="s">
        <v>68</v>
      </c>
      <c r="I53" s="19">
        <v>8.5508295698839797E-3</v>
      </c>
      <c r="J53" s="9">
        <v>-460</v>
      </c>
      <c r="K53">
        <v>-12.199999999999989</v>
      </c>
    </row>
    <row r="54" spans="1:11" x14ac:dyDescent="0.25">
      <c r="A54" s="9" t="s">
        <v>20</v>
      </c>
      <c r="B54" s="9" t="s">
        <v>70</v>
      </c>
      <c r="C54" s="19">
        <v>4.1550908719244798E-3</v>
      </c>
      <c r="D54" s="9">
        <v>-468.45</v>
      </c>
      <c r="E54" s="48">
        <v>-71.55000000000004</v>
      </c>
      <c r="G54" t="s">
        <v>20</v>
      </c>
      <c r="H54" t="s">
        <v>70</v>
      </c>
      <c r="I54" s="19">
        <v>8.7079045913307594E-3</v>
      </c>
      <c r="J54" s="9">
        <v>-468.45</v>
      </c>
      <c r="K54">
        <v>-71.55000000000004</v>
      </c>
    </row>
    <row r="55" spans="1:11" x14ac:dyDescent="0.25">
      <c r="A55" s="9" t="s">
        <v>20</v>
      </c>
      <c r="B55" s="9" t="s">
        <v>72</v>
      </c>
      <c r="C55" s="19">
        <v>2.1327143573923999E-3</v>
      </c>
      <c r="D55" s="9">
        <v>-466.7</v>
      </c>
      <c r="E55" s="48">
        <v>-36.724999999999966</v>
      </c>
      <c r="G55" t="s">
        <v>20</v>
      </c>
      <c r="H55" t="s">
        <v>72</v>
      </c>
      <c r="I55" s="19">
        <v>8.6753742614453302E-3</v>
      </c>
      <c r="J55" s="9">
        <v>-466.7</v>
      </c>
      <c r="K55">
        <v>-36.724999999999966</v>
      </c>
    </row>
    <row r="56" spans="1:11" x14ac:dyDescent="0.25">
      <c r="A56" s="9" t="s">
        <v>20</v>
      </c>
      <c r="B56" s="9" t="s">
        <v>77</v>
      </c>
      <c r="C56" s="19">
        <v>7.3781173344235496E-3</v>
      </c>
      <c r="D56" s="9">
        <v>-1729.95</v>
      </c>
      <c r="E56" s="48">
        <v>-127.04999999999998</v>
      </c>
      <c r="G56" t="s">
        <v>20</v>
      </c>
      <c r="H56" t="s">
        <v>77</v>
      </c>
      <c r="I56" s="19">
        <v>3.2157625248740801E-2</v>
      </c>
      <c r="J56" s="9">
        <v>-1729.95</v>
      </c>
      <c r="K56">
        <v>-127.04999999999998</v>
      </c>
    </row>
    <row r="57" spans="1:11" x14ac:dyDescent="0.25">
      <c r="A57" s="9" t="s">
        <v>20</v>
      </c>
      <c r="B57" s="9" t="s">
        <v>81</v>
      </c>
      <c r="C57" s="19">
        <v>1.9390424068980901E-2</v>
      </c>
      <c r="D57" s="9">
        <v>-1462.88</v>
      </c>
      <c r="E57" s="48">
        <v>-333.9</v>
      </c>
      <c r="G57" t="s">
        <v>20</v>
      </c>
      <c r="H57" t="s">
        <v>81</v>
      </c>
      <c r="I57" s="19">
        <v>2.7193125133025801E-2</v>
      </c>
      <c r="J57" s="9">
        <v>-1462.88</v>
      </c>
      <c r="K57">
        <v>-333.9</v>
      </c>
    </row>
    <row r="58" spans="1:11" x14ac:dyDescent="0.25">
      <c r="A58" s="9" t="s">
        <v>20</v>
      </c>
      <c r="B58" s="9" t="s">
        <v>85</v>
      </c>
      <c r="C58" s="19">
        <v>1.8144767895636699E-2</v>
      </c>
      <c r="D58" s="9">
        <v>-510</v>
      </c>
      <c r="E58" s="48">
        <v>-312.45</v>
      </c>
      <c r="G58" t="s">
        <v>20</v>
      </c>
      <c r="H58" t="s">
        <v>85</v>
      </c>
      <c r="I58" s="19">
        <v>9.4802675666105004E-3</v>
      </c>
      <c r="J58" s="9">
        <v>-510</v>
      </c>
      <c r="K58">
        <v>-312.45</v>
      </c>
    </row>
    <row r="59" spans="1:11" x14ac:dyDescent="0.25">
      <c r="A59" s="9" t="s">
        <v>20</v>
      </c>
      <c r="B59" s="9" t="s">
        <v>91</v>
      </c>
      <c r="C59" s="19">
        <v>4.4425499888499901E-4</v>
      </c>
      <c r="D59" s="9">
        <v>-978.1</v>
      </c>
      <c r="E59" s="48">
        <v>-7.6499999999998636</v>
      </c>
      <c r="G59" t="s">
        <v>20</v>
      </c>
      <c r="H59" t="s">
        <v>91</v>
      </c>
      <c r="I59" s="19">
        <v>1.8181666091964199E-2</v>
      </c>
      <c r="J59" s="9">
        <v>-978.1</v>
      </c>
      <c r="K59">
        <v>-7.6499999999998636</v>
      </c>
    </row>
    <row r="60" spans="1:11" x14ac:dyDescent="0.25">
      <c r="A60" s="9" t="s">
        <v>20</v>
      </c>
      <c r="B60" s="9" t="s">
        <v>92</v>
      </c>
      <c r="C60" s="19">
        <v>5.5691574370028999E-3</v>
      </c>
      <c r="D60" s="9">
        <v>-479.5</v>
      </c>
      <c r="E60" s="48">
        <v>-95.899999999999949</v>
      </c>
      <c r="G60" t="s">
        <v>20</v>
      </c>
      <c r="H60" t="s">
        <v>92</v>
      </c>
      <c r="I60" s="19">
        <v>8.9133103886073206E-3</v>
      </c>
      <c r="J60" s="9">
        <v>-479.5</v>
      </c>
      <c r="K60">
        <v>-95.899999999999949</v>
      </c>
    </row>
    <row r="61" spans="1:11" x14ac:dyDescent="0.25">
      <c r="A61" s="9" t="s">
        <v>20</v>
      </c>
      <c r="B61" s="9" t="s">
        <v>94</v>
      </c>
      <c r="C61" s="19">
        <v>2.5566439641715598E-3</v>
      </c>
      <c r="D61" s="9">
        <v>-565.79999999999995</v>
      </c>
      <c r="E61" s="48">
        <v>-44.025000000000034</v>
      </c>
      <c r="G61" t="s">
        <v>20</v>
      </c>
      <c r="H61" t="s">
        <v>94</v>
      </c>
      <c r="I61" s="19">
        <v>1.05175203709573E-2</v>
      </c>
      <c r="J61" s="9">
        <v>-565.79999999999995</v>
      </c>
      <c r="K61">
        <v>-44.025000000000034</v>
      </c>
    </row>
    <row r="62" spans="1:11" x14ac:dyDescent="0.25">
      <c r="A62" s="9" t="s">
        <v>20</v>
      </c>
      <c r="B62" s="9" t="s">
        <v>96</v>
      </c>
      <c r="C62" s="19">
        <v>1.9262664461458402E-2</v>
      </c>
      <c r="D62" s="9">
        <v>-1489.72</v>
      </c>
      <c r="E62" s="48">
        <v>-331.69999999999982</v>
      </c>
      <c r="G62" t="s">
        <v>20</v>
      </c>
      <c r="H62" t="s">
        <v>96</v>
      </c>
      <c r="I62" s="19">
        <v>2.7692047449668598E-2</v>
      </c>
      <c r="J62" s="9">
        <v>-1489.72</v>
      </c>
      <c r="K62">
        <v>-331.69999999999982</v>
      </c>
    </row>
    <row r="63" spans="1:11" x14ac:dyDescent="0.25">
      <c r="A63" s="9" t="s">
        <v>20</v>
      </c>
      <c r="B63" s="9" t="s">
        <v>97</v>
      </c>
      <c r="C63" s="19">
        <v>4.3333735969672202E-2</v>
      </c>
      <c r="D63" s="9">
        <v>-1399.25</v>
      </c>
      <c r="E63" s="48">
        <v>-746.2</v>
      </c>
      <c r="G63" t="s">
        <v>20</v>
      </c>
      <c r="H63" t="s">
        <v>97</v>
      </c>
      <c r="I63" s="19">
        <v>2.6010322338391598E-2</v>
      </c>
      <c r="J63" s="9">
        <v>-1399.25</v>
      </c>
      <c r="K63">
        <v>-746.2</v>
      </c>
    </row>
    <row r="64" spans="1:11" x14ac:dyDescent="0.25">
      <c r="A64" s="9" t="s">
        <v>119</v>
      </c>
      <c r="B64" s="9" t="s">
        <v>48</v>
      </c>
      <c r="C64" s="19">
        <v>0</v>
      </c>
      <c r="D64" s="9">
        <v>217.62</v>
      </c>
      <c r="E64" s="48">
        <v>0</v>
      </c>
      <c r="G64" t="s">
        <v>119</v>
      </c>
      <c r="H64" t="s">
        <v>48</v>
      </c>
      <c r="I64" s="19"/>
      <c r="J64" s="9">
        <v>217.62</v>
      </c>
      <c r="K64">
        <v>0</v>
      </c>
    </row>
    <row r="65" spans="1:11" x14ac:dyDescent="0.25">
      <c r="A65" s="9" t="s">
        <v>119</v>
      </c>
      <c r="B65" s="9" t="s">
        <v>123</v>
      </c>
      <c r="C65" s="19">
        <v>0</v>
      </c>
      <c r="D65" s="9">
        <v>1002</v>
      </c>
      <c r="E65" s="48">
        <v>0</v>
      </c>
      <c r="G65" t="s">
        <v>119</v>
      </c>
      <c r="H65" t="s">
        <v>123</v>
      </c>
      <c r="I65" s="19"/>
      <c r="J65" s="9">
        <v>1002</v>
      </c>
      <c r="K65">
        <v>0</v>
      </c>
    </row>
    <row r="66" spans="1:11" x14ac:dyDescent="0.25">
      <c r="A66" s="9" t="s">
        <v>119</v>
      </c>
      <c r="B66" s="9" t="s">
        <v>99</v>
      </c>
      <c r="C66" s="19">
        <v>0</v>
      </c>
      <c r="D66" s="9">
        <v>-160.4</v>
      </c>
      <c r="E66" s="48">
        <v>0</v>
      </c>
      <c r="G66" t="s">
        <v>119</v>
      </c>
      <c r="H66" t="s">
        <v>99</v>
      </c>
      <c r="I66" s="19"/>
      <c r="J66" s="9">
        <v>-160.4</v>
      </c>
      <c r="K66">
        <v>0</v>
      </c>
    </row>
  </sheetData>
  <mergeCells count="2">
    <mergeCell ref="M9:T12"/>
    <mergeCell ref="M1:T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0"/>
  <sheetViews>
    <sheetView zoomScale="120" zoomScaleNormal="120" workbookViewId="0">
      <pane ySplit="1" topLeftCell="A2" activePane="bottomLeft" state="frozen"/>
      <selection pane="bottomLeft" activeCell="C13" sqref="C13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34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45782.395833333336</v>
      </c>
      <c r="B2" t="s">
        <v>38</v>
      </c>
      <c r="C2">
        <v>200</v>
      </c>
      <c r="D2">
        <v>2.4900000000000002</v>
      </c>
      <c r="E2">
        <v>-498.00000000000006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3.2050000000000001</v>
      </c>
      <c r="H2" s="2">
        <f>IFERROR((trades[[#This Row],[Current Price]]-trades[[#This Row],[Avg Price]])*SUMIF(trades[Symbol],trades[[#This Row],[Symbol]],trades[Qty]),"")</f>
        <v>669.00999999999988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45806.430648148147</v>
      </c>
      <c r="B3" t="s">
        <v>38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3.2050000000000001</v>
      </c>
      <c r="H3" s="2">
        <f>IFERROR((trades[[#This Row],[Current Price]]-trades[[#This Row],[Avg Price]])*SUMIF(trades[Symbol],trades[[#This Row],[Symbol]],trades[Qty]),"")</f>
        <v>669.00999999999988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45874.395891203705</v>
      </c>
      <c r="B4" t="s">
        <v>38</v>
      </c>
      <c r="C4">
        <v>225</v>
      </c>
      <c r="D4">
        <v>2.2000000000000002</v>
      </c>
      <c r="E4">
        <v>-495.00000000000006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3.2050000000000001</v>
      </c>
      <c r="H4" s="2">
        <f>IFERROR((trades[[#This Row],[Current Price]]-trades[[#This Row],[Avg Price]])*SUMIF(trades[Symbol],trades[[#This Row],[Symbol]],trades[Qty]),"")</f>
        <v>669.00999999999988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45810.511423611111</v>
      </c>
      <c r="B5" t="s">
        <v>38</v>
      </c>
      <c r="C5">
        <v>205</v>
      </c>
      <c r="D5">
        <v>2.44</v>
      </c>
      <c r="E5">
        <v>-500.2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3.2050000000000001</v>
      </c>
      <c r="H5" s="2">
        <f>IFERROR((trades[[#This Row],[Current Price]]-trades[[#This Row],[Avg Price]])*SUMIF(trades[Symbol],trades[[#This Row],[Symbol]],trades[Qty]),"")</f>
        <v>669.00999999999988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39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79.739999999999995</v>
      </c>
      <c r="H6" s="2">
        <f>IFERROR((trades[[#This Row],[Current Price]]-trades[[#This Row],[Avg Price]])*SUMIF(trades[Symbol],trades[[#This Row],[Symbol]],trades[Qty]),"")</f>
        <v>-1.3000000000000256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40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190.965</v>
      </c>
      <c r="H7" s="2">
        <f>IFERROR((trades[[#This Row],[Current Price]]-trades[[#This Row],[Avg Price]])*SUMIF(trades[Symbol],trades[[#This Row],[Symbol]],trades[Qty]),"")</f>
        <v>-290.8250000000001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41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24.22</v>
      </c>
      <c r="H8" s="2">
        <f>IFERROR((trades[[#This Row],[Current Price]]-trades[[#This Row],[Avg Price]])*SUMIF(trades[Symbol],trades[[#This Row],[Symbol]],trades[Qty]),"")</f>
        <v>690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42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0.98499999999999999</v>
      </c>
      <c r="H9" s="2">
        <f>IFERROR((trades[[#This Row],[Current Price]]-trades[[#This Row],[Avg Price]])*SUMIF(trades[Symbol],trades[[#This Row],[Symbol]],trades[Qty]),"")</f>
        <v>-129.37500000000003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43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60.215000000000003</v>
      </c>
      <c r="H10" s="2">
        <f>IFERROR((trades[[#This Row],[Current Price]]-trades[[#This Row],[Avg Price]])*SUMIF(trades[Symbol],trades[[#This Row],[Symbol]],trades[Qty]),"")</f>
        <v>212.65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t="s">
        <v>44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65.53</v>
      </c>
      <c r="H11" s="2">
        <f>IFERROR((trades[[#This Row],[Current Price]]-trades[[#This Row],[Avg Price]])*SUMIF(trades[Symbol],trades[[#This Row],[Symbol]],trades[Qty]),"")</f>
        <v>70.699999999999932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45874.39607638889</v>
      </c>
      <c r="B12" t="s">
        <v>44</v>
      </c>
      <c r="C12">
        <v>5</v>
      </c>
      <c r="D12">
        <v>70</v>
      </c>
      <c r="E12">
        <v>-350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65.53</v>
      </c>
      <c r="H12" s="2">
        <f>IFERROR((trades[[#This Row],[Current Price]]-trades[[#This Row],[Avg Price]])*SUMIF(trades[Symbol],trades[[#This Row],[Symbol]],trades[Qty]),"")</f>
        <v>70.699999999999932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45806.423750000002</v>
      </c>
      <c r="B13" t="s">
        <v>44</v>
      </c>
      <c r="C13">
        <v>5</v>
      </c>
      <c r="D13">
        <v>65.98</v>
      </c>
      <c r="E13">
        <v>-329.90000000000003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65.53</v>
      </c>
      <c r="H13" s="2">
        <f>IFERROR((trades[[#This Row],[Current Price]]-trades[[#This Row],[Avg Price]])*SUMIF(trades[Symbol],trades[[#This Row],[Symbol]],trades[Qty]),"")</f>
        <v>70.699999999999932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45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205.38</v>
      </c>
      <c r="H14" s="2">
        <f>IFERROR((trades[[#This Row],[Current Price]]-trades[[#This Row],[Avg Price]])*SUMIF(trades[Symbol],trades[[#This Row],[Symbol]],trades[Qty]),"")</f>
        <v>673.8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45707.532534722224</v>
      </c>
      <c r="B15" t="s">
        <v>46</v>
      </c>
      <c r="C15">
        <v>50</v>
      </c>
      <c r="D15">
        <v>14.92</v>
      </c>
      <c r="E15">
        <v>-746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33.340000000000003</v>
      </c>
      <c r="H15" s="2">
        <f>IFERROR((trades[[#This Row],[Current Price]]-trades[[#This Row],[Avg Price]])*SUMIF(trades[Symbol],trades[[#This Row],[Symbol]],trades[Qty]),"")</f>
        <v>1248.7500000000002</v>
      </c>
      <c r="I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6" spans="1:9" x14ac:dyDescent="0.25">
      <c r="A16" s="1">
        <v>45663.393217592595</v>
      </c>
      <c r="B16" t="s">
        <v>46</v>
      </c>
      <c r="C16">
        <v>25</v>
      </c>
      <c r="D16">
        <v>20.23</v>
      </c>
      <c r="E16">
        <v>-505.75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33.340000000000003</v>
      </c>
      <c r="H16" s="2">
        <f>IFERROR((trades[[#This Row],[Current Price]]-trades[[#This Row],[Avg Price]])*SUMIF(trades[Symbol],trades[[#This Row],[Symbol]],trades[Qty]),"")</f>
        <v>1248.7500000000002</v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45783.291759259257</v>
      </c>
      <c r="B17" t="s">
        <v>47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84.76</v>
      </c>
      <c r="H17" s="2">
        <f>IFERROR((trades[[#This Row],[Current Price]]-trades[[#This Row],[Avg Price]])*SUMIF(trades[Symbol],trades[[#This Row],[Symbol]],trades[Qty]),"")</f>
        <v>74.650000000000034</v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45579.521724537037</v>
      </c>
      <c r="B18" t="s">
        <v>48</v>
      </c>
      <c r="C18">
        <v>40</v>
      </c>
      <c r="D18">
        <v>12.5</v>
      </c>
      <c r="E18">
        <v>-500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8.81</v>
      </c>
      <c r="H18" s="2" t="str">
        <f>IFERROR((trades[[#This Row],[Current Price]]-trades[[#This Row],[Avg Price]])*SUMIF(trades[Symbol],trades[[#This Row],[Symbol]],trades[Qty]),"")</f>
        <v/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45652.397789351853</v>
      </c>
      <c r="B19" t="s">
        <v>48</v>
      </c>
      <c r="C19">
        <v>-40</v>
      </c>
      <c r="D19">
        <v>17.9404</v>
      </c>
      <c r="E19">
        <v>717.61599999999999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8.81</v>
      </c>
      <c r="H19" s="2" t="str">
        <f>IFERROR((trades[[#This Row],[Current Price]]-trades[[#This Row],[Avg Price]])*SUMIF(trades[Symbol],trades[[#This Row],[Symbol]],trades[Qty]),"")</f>
        <v/>
      </c>
      <c r="I19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0" spans="1:9" x14ac:dyDescent="0.25">
      <c r="A20" s="1">
        <v>45902.395914351851</v>
      </c>
      <c r="B20" t="s">
        <v>49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10.9</v>
      </c>
      <c r="H20" s="2">
        <f>IFERROR((trades[[#This Row],[Current Price]]-trades[[#This Row],[Avg Price]])*SUMIF(trades[Symbol],trades[[#This Row],[Symbol]],trades[Qty]),"")</f>
        <v>-202.5</v>
      </c>
      <c r="I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1" spans="1:9" x14ac:dyDescent="0.25">
      <c r="A21" s="1">
        <v>45783.580752314818</v>
      </c>
      <c r="B21" t="s">
        <v>50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103.639</v>
      </c>
      <c r="H21" s="2">
        <f>IFERROR((trades[[#This Row],[Current Price]]-trades[[#This Row],[Avg Price]])*SUMIF(trades[Symbol],trades[[#This Row],[Symbol]],trades[Qty]),"")</f>
        <v>48.889999999999958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50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103.639</v>
      </c>
      <c r="H22" s="2">
        <f>IFERROR((trades[[#This Row],[Current Price]]-trades[[#This Row],[Avg Price]])*SUMIF(trades[Symbol],trades[[#This Row],[Symbol]],trades[Qty]),"")</f>
        <v>48.889999999999958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45750.30810185185</v>
      </c>
      <c r="B23" t="s">
        <v>51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52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86.75</v>
      </c>
      <c r="H24" s="2">
        <f>IFERROR((trades[[#This Row],[Current Price]]-trades[[#This Row],[Avg Price]])*SUMIF(trades[Symbol],trades[[#This Row],[Symbol]],trades[Qty]),"")</f>
        <v>63.75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53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109.2299</v>
      </c>
      <c r="H25" s="2">
        <f>IFERROR((trades[[#This Row],[Current Price]]-trades[[#This Row],[Avg Price]])*SUMIF(trades[Symbol],trades[[#This Row],[Symbol]],trades[Qty]),"")</f>
        <v>97.699500000000015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54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143.495</v>
      </c>
      <c r="H26" s="2">
        <f>IFERROR((trades[[#This Row],[Current Price]]-trades[[#This Row],[Avg Price]])*SUMIF(trades[Symbol],trades[[#This Row],[Symbol]],trades[Qty]),"")</f>
        <v>217.47500000000002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45747.392361111109</v>
      </c>
      <c r="B27" t="s">
        <v>55</v>
      </c>
      <c r="C27">
        <v>5</v>
      </c>
      <c r="D27">
        <v>75</v>
      </c>
      <c r="E27">
        <v>-375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60.84</v>
      </c>
      <c r="H27" s="2">
        <f>IFERROR((trades[[#This Row],[Current Price]]-trades[[#This Row],[Avg Price]])*SUMIF(trades[Symbol],trades[[#This Row],[Symbol]],trades[Qty]),"")</f>
        <v>-374.09999999999997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55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60.84</v>
      </c>
      <c r="H28" s="2">
        <f>IFERROR((trades[[#This Row],[Current Price]]-trades[[#This Row],[Avg Price]])*SUMIF(trades[Symbol],trades[[#This Row],[Symbol]],trades[Qty]),"")</f>
        <v>-374.09999999999997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45902.395856481482</v>
      </c>
      <c r="B29" t="s">
        <v>55</v>
      </c>
      <c r="C29">
        <v>5</v>
      </c>
      <c r="D29">
        <v>71.489999999999995</v>
      </c>
      <c r="E29">
        <v>-357.45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60.84</v>
      </c>
      <c r="H29" s="2">
        <f>IFERROR((trades[[#This Row],[Current Price]]-trades[[#This Row],[Avg Price]])*SUMIF(trades[Symbol],trades[[#This Row],[Symbol]],trades[Qty]),"")</f>
        <v>-374.09999999999997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55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60.84</v>
      </c>
      <c r="H30" s="2">
        <f>IFERROR((trades[[#This Row],[Current Price]]-trades[[#This Row],[Avg Price]])*SUMIF(trades[Symbol],trades[[#This Row],[Symbol]],trades[Qty]),"")</f>
        <v>-374.09999999999997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45874.395856481482</v>
      </c>
      <c r="B31" t="s">
        <v>55</v>
      </c>
      <c r="C31">
        <v>5</v>
      </c>
      <c r="D31">
        <v>71.260000000000005</v>
      </c>
      <c r="E31">
        <v>-356.3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60.84</v>
      </c>
      <c r="H31" s="2">
        <f>IFERROR((trades[[#This Row],[Current Price]]-trades[[#This Row],[Avg Price]])*SUMIF(trades[Symbol],trades[[#This Row],[Symbol]],trades[Qty]),"")</f>
        <v>-374.09999999999997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56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22.05</v>
      </c>
      <c r="H32" s="2">
        <f>IFERROR((trades[[#This Row],[Current Price]]-trades[[#This Row],[Avg Price]])*SUMIF(trades[Symbol],trades[[#This Row],[Symbol]],trades[Qty]),"")</f>
        <v>504.45000000000005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57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8.73</v>
      </c>
      <c r="H33" s="2">
        <f>IFERROR((trades[[#This Row],[Current Price]]-trades[[#This Row],[Avg Price]])*SUMIF(trades[Symbol],trades[[#This Row],[Symbol]],trades[Qty]),"")</f>
        <v>-66.000000000000014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58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66.510000000000005</v>
      </c>
      <c r="H34" s="2">
        <f>IFERROR((trades[[#This Row],[Current Price]]-trades[[#This Row],[Avg Price]])*SUMIF(trades[Symbol],trades[[#This Row],[Symbol]],trades[Qty]),"")</f>
        <v>-216.1999999999999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58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66.510000000000005</v>
      </c>
      <c r="H35" s="2">
        <f>IFERROR((trades[[#This Row],[Current Price]]-trades[[#This Row],[Avg Price]])*SUMIF(trades[Symbol],trades[[#This Row],[Symbol]],trades[Qty]),"")</f>
        <v>-216.1999999999999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59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55.24</v>
      </c>
      <c r="H36" s="2">
        <f>IFERROR((trades[[#This Row],[Current Price]]-trades[[#This Row],[Avg Price]])*SUMIF(trades[Symbol],trades[[#This Row],[Symbol]],trades[Qty]),"")</f>
        <v>107.40000000000002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60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5.6950000000000003</v>
      </c>
      <c r="H37" s="2">
        <f>IFERROR((trades[[#This Row],[Current Price]]-trades[[#This Row],[Avg Price]])*SUMIF(trades[Symbol],trades[[#This Row],[Symbol]],trades[Qty]),"")</f>
        <v>-159.90000000000006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60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5.6950000000000003</v>
      </c>
      <c r="H38" s="2">
        <f>IFERROR((trades[[#This Row],[Current Price]]-trades[[#This Row],[Avg Price]])*SUMIF(trades[Symbol],trades[[#This Row],[Symbol]],trades[Qty]),"")</f>
        <v>-159.90000000000006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61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37.71</v>
      </c>
      <c r="H39" s="2">
        <f>IFERROR((trades[[#This Row],[Current Price]]-trades[[#This Row],[Avg Price]])*SUMIF(trades[Symbol],trades[[#This Row],[Symbol]],trades[Qty]),"")</f>
        <v>-34.399999999999977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45902.395856481482</v>
      </c>
      <c r="B40" t="s">
        <v>62</v>
      </c>
      <c r="C40">
        <v>5</v>
      </c>
      <c r="D40">
        <v>96.26</v>
      </c>
      <c r="E40">
        <v>-481.3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70.650000000000006</v>
      </c>
      <c r="H40" s="2">
        <f>IFERROR((trades[[#This Row],[Current Price]]-trades[[#This Row],[Avg Price]])*SUMIF(trades[Symbol],trades[[#This Row],[Symbol]],trades[Qty]),"")</f>
        <v>-477.74999999999977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45874.395844907405</v>
      </c>
      <c r="B41" t="s">
        <v>62</v>
      </c>
      <c r="C41">
        <v>5</v>
      </c>
      <c r="D41">
        <v>96.75</v>
      </c>
      <c r="E41">
        <v>-483.75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70.650000000000006</v>
      </c>
      <c r="H41" s="2">
        <f>IFERROR((trades[[#This Row],[Current Price]]-trades[[#This Row],[Avg Price]])*SUMIF(trades[Symbol],trades[[#This Row],[Symbol]],trades[Qty]),"")</f>
        <v>-477.74999999999977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t="s">
        <v>62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70.650000000000006</v>
      </c>
      <c r="H42" s="2">
        <f>IFERROR((trades[[#This Row],[Current Price]]-trades[[#This Row],[Avg Price]])*SUMIF(trades[Symbol],trades[[#This Row],[Symbol]],trades[Qty]),"")</f>
        <v>-477.74999999999977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45754.291678240741</v>
      </c>
      <c r="B43" t="s">
        <v>62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70.650000000000006</v>
      </c>
      <c r="H43" s="2">
        <f>IFERROR((trades[[#This Row],[Current Price]]-trades[[#This Row],[Avg Price]])*SUMIF(trades[Symbol],trades[[#This Row],[Symbol]],trades[Qty]),"")</f>
        <v>-477.74999999999977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t="s">
        <v>63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4" s="2">
        <f>RTD("tos.rtd", , "LAST", trades[[#This Row],[Symbol]])</f>
        <v>30.83</v>
      </c>
      <c r="H44" s="2">
        <f>IFERROR((trades[[#This Row],[Current Price]]-trades[[#This Row],[Avg Price]])*SUMIF(trades[Symbol],trades[[#This Row],[Symbol]],trades[Qty]),"")</f>
        <v>398.2999999999999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45810.291666666664</v>
      </c>
      <c r="B45" t="s">
        <v>63</v>
      </c>
      <c r="C45">
        <v>15</v>
      </c>
      <c r="D45">
        <v>29.04</v>
      </c>
      <c r="E45">
        <v>-435.59999999999997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5" s="2">
        <f>RTD("tos.rtd", , "LAST", trades[[#This Row],[Symbol]])</f>
        <v>30.83</v>
      </c>
      <c r="H45" s="2">
        <f>IFERROR((trades[[#This Row],[Current Price]]-trades[[#This Row],[Avg Price]])*SUMIF(trades[Symbol],trades[[#This Row],[Symbol]],trades[Qty]),"")</f>
        <v>398.2999999999999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t="s">
        <v>63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6" s="2">
        <f>RTD("tos.rtd", , "LAST", trades[[#This Row],[Symbol]])</f>
        <v>30.83</v>
      </c>
      <c r="H46" s="2">
        <f>IFERROR((trades[[#This Row],[Current Price]]-trades[[#This Row],[Avg Price]])*SUMIF(trades[Symbol],trades[[#This Row],[Symbol]],trades[Qty]),"")</f>
        <v>398.2999999999999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45902.395856481482</v>
      </c>
      <c r="B47" t="s">
        <v>63</v>
      </c>
      <c r="C47">
        <v>20</v>
      </c>
      <c r="D47">
        <v>26.89</v>
      </c>
      <c r="E47">
        <v>-537.79999999999995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7" s="2">
        <f>RTD("tos.rtd", , "LAST", trades[[#This Row],[Symbol]])</f>
        <v>30.83</v>
      </c>
      <c r="H47" s="2">
        <f>IFERROR((trades[[#This Row],[Current Price]]-trades[[#This Row],[Avg Price]])*SUMIF(trades[Symbol],trades[[#This Row],[Symbol]],trades[Qty]),"")</f>
        <v>398.2999999999999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45751.291666666664</v>
      </c>
      <c r="B48" t="s">
        <v>63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8" s="2">
        <f>RTD("tos.rtd", , "LAST", trades[[#This Row],[Symbol]])</f>
        <v>30.83</v>
      </c>
      <c r="H48" s="2">
        <f>IFERROR((trades[[#This Row],[Current Price]]-trades[[#This Row],[Avg Price]])*SUMIF(trades[Symbol],trades[[#This Row],[Symbol]],trades[Qty]),"")</f>
        <v>398.2999999999999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45747.291666666664</v>
      </c>
      <c r="B49" t="s">
        <v>64</v>
      </c>
      <c r="C49">
        <v>25</v>
      </c>
      <c r="D49">
        <v>19.38</v>
      </c>
      <c r="E49">
        <v>-484.5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29.265000000000001</v>
      </c>
      <c r="H49" s="2">
        <f>IFERROR((trades[[#This Row],[Current Price]]-trades[[#This Row],[Avg Price]])*SUMIF(trades[Symbol],trades[[#This Row],[Symbol]],trades[Qty]),"")</f>
        <v>316.625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45902.395833333336</v>
      </c>
      <c r="B50" t="s">
        <v>64</v>
      </c>
      <c r="C50">
        <v>20</v>
      </c>
      <c r="D50">
        <v>25.79</v>
      </c>
      <c r="E50">
        <v>-515.79999999999995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29.265000000000001</v>
      </c>
      <c r="H50" s="2">
        <f>IFERROR((trades[[#This Row],[Current Price]]-trades[[#This Row],[Avg Price]])*SUMIF(trades[Symbol],trades[[#This Row],[Symbol]],trades[Qty]),"")</f>
        <v>316.625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45608.414699074077</v>
      </c>
      <c r="B51" t="s">
        <v>65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39.405000000000001</v>
      </c>
      <c r="H51" s="2">
        <f>IFERROR((trades[[#This Row],[Current Price]]-trades[[#This Row],[Avg Price]])*SUMIF(trades[Symbol],trades[[#This Row],[Symbol]],trades[Qty]),"")</f>
        <v>783.02499999999998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45720.397013888891</v>
      </c>
      <c r="B52" t="s">
        <v>65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39.405000000000001</v>
      </c>
      <c r="H52" s="2">
        <f>IFERROR((trades[[#This Row],[Current Price]]-trades[[#This Row],[Avg Price]])*SUMIF(trades[Symbol],trades[[#This Row],[Symbol]],trades[Qty]),"")</f>
        <v>783.02499999999998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45811.397233796299</v>
      </c>
      <c r="B53" t="s">
        <v>66</v>
      </c>
      <c r="C53">
        <v>100</v>
      </c>
      <c r="D53">
        <v>5</v>
      </c>
      <c r="E53">
        <v>-500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7.1950000000000003</v>
      </c>
      <c r="H53" s="2">
        <f>IFERROR((trades[[#This Row],[Current Price]]-trades[[#This Row],[Avg Price]])*SUMIF(trades[Symbol],trades[[#This Row],[Symbol]],trades[Qty]),"")</f>
        <v>1182.3980000000001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45740.291770833333</v>
      </c>
      <c r="B54" t="s">
        <v>66</v>
      </c>
      <c r="C54">
        <v>115</v>
      </c>
      <c r="D54">
        <v>4.3498000000000001</v>
      </c>
      <c r="E54">
        <v>-500.22700000000003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7.1950000000000003</v>
      </c>
      <c r="H54" s="2">
        <f>IFERROR((trades[[#This Row],[Current Price]]-trades[[#This Row],[Avg Price]])*SUMIF(trades[Symbol],trades[[#This Row],[Symbol]],trades[Qty]),"")</f>
        <v>1182.3980000000001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45840.416192129633</v>
      </c>
      <c r="B55" t="s">
        <v>66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7.1950000000000003</v>
      </c>
      <c r="H55" s="2">
        <f>IFERROR((trades[[#This Row],[Current Price]]-trades[[#This Row],[Avg Price]])*SUMIF(trades[Symbol],trades[[#This Row],[Symbol]],trades[Qty]),"")</f>
        <v>1182.3980000000001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45806.668912037036</v>
      </c>
      <c r="B56" t="s">
        <v>66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7.1950000000000003</v>
      </c>
      <c r="H56" s="2">
        <f>IFERROR((trades[[#This Row],[Current Price]]-trades[[#This Row],[Avg Price]])*SUMIF(trades[Symbol],trades[[#This Row],[Symbol]],trades[Qty]),"")</f>
        <v>1182.3980000000001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45874.395833333336</v>
      </c>
      <c r="B57" t="s">
        <v>66</v>
      </c>
      <c r="C57">
        <v>85</v>
      </c>
      <c r="D57">
        <v>5.85</v>
      </c>
      <c r="E57">
        <v>-497.24999999999994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7.1950000000000003</v>
      </c>
      <c r="H57" s="2">
        <f>IFERROR((trades[[#This Row],[Current Price]]-trades[[#This Row],[Avg Price]])*SUMIF(trades[Symbol],trades[[#This Row],[Symbol]],trades[Qty]),"")</f>
        <v>1182.3980000000001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45902.395856481482</v>
      </c>
      <c r="B58" t="s">
        <v>66</v>
      </c>
      <c r="C58">
        <v>75</v>
      </c>
      <c r="D58">
        <v>6.11</v>
      </c>
      <c r="E58">
        <v>-458.25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7.1950000000000003</v>
      </c>
      <c r="H58" s="2">
        <f>IFERROR((trades[[#This Row],[Current Price]]-trades[[#This Row],[Avg Price]])*SUMIF(trades[Symbol],trades[[#This Row],[Symbol]],trades[Qty]),"")</f>
        <v>1182.3980000000001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45609.395821759259</v>
      </c>
      <c r="B59" t="s">
        <v>67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30.71</v>
      </c>
      <c r="H59" s="2">
        <f>IFERROR((trades[[#This Row],[Current Price]]-trades[[#This Row],[Avg Price]])*SUMIF(trades[Symbol],trades[[#This Row],[Symbol]],trades[Qty]),"")</f>
        <v>817.25000000000011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45817.461053240739</v>
      </c>
      <c r="B60" t="s">
        <v>67</v>
      </c>
      <c r="C60">
        <v>25</v>
      </c>
      <c r="D60">
        <v>20.63</v>
      </c>
      <c r="E60">
        <v>-515.75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30.71</v>
      </c>
      <c r="H60" s="2">
        <f>IFERROR((trades[[#This Row],[Current Price]]-trades[[#This Row],[Avg Price]])*SUMIF(trades[Symbol],trades[[#This Row],[Symbol]],trades[Qty]),"")</f>
        <v>817.25000000000011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45747.362372685187</v>
      </c>
      <c r="B61" t="s">
        <v>67</v>
      </c>
      <c r="C61">
        <v>25</v>
      </c>
      <c r="D61">
        <v>21</v>
      </c>
      <c r="E61">
        <v>-525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30.71</v>
      </c>
      <c r="H61" s="2">
        <f>IFERROR((trades[[#This Row],[Current Price]]-trades[[#This Row],[Avg Price]])*SUMIF(trades[Symbol],trades[[#This Row],[Symbol]],trades[Qty]),"")</f>
        <v>817.25000000000011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68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44.78</v>
      </c>
      <c r="H62" s="2">
        <f>IFERROR((trades[[#This Row],[Current Price]]-trades[[#This Row],[Avg Price]])*SUMIF(trades[Symbol],trades[[#This Row],[Symbol]],trades[Qty]),"")</f>
        <v>-12.199999999999989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69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110.82</v>
      </c>
      <c r="H63" s="2">
        <f>IFERROR((trades[[#This Row],[Current Price]]-trades[[#This Row],[Avg Price]])*SUMIF(trades[Symbol],trades[[#This Row],[Symbol]],trades[Qty]),"")</f>
        <v>94.099999999999966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70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2.9449999999999998</v>
      </c>
      <c r="H64" s="2">
        <f>IFERROR((trades[[#This Row],[Current Price]]-trades[[#This Row],[Avg Price]])*SUMIF(trades[Symbol],trades[[#This Row],[Symbol]],trades[Qty]),"")</f>
        <v>-70.875000000000043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71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17.175000000000001</v>
      </c>
      <c r="H65" s="2">
        <f>IFERROR((trades[[#This Row],[Current Price]]-trades[[#This Row],[Avg Price]])*SUMIF(trades[Symbol],trades[[#This Row],[Symbol]],trades[Qty]),"")</f>
        <v>35.250000000000021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45663.309421296297</v>
      </c>
      <c r="B66" t="s">
        <v>72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6.6150000000000002</v>
      </c>
      <c r="H66" s="2">
        <f>IFERROR((trades[[#This Row],[Current Price]]-trades[[#This Row],[Avg Price]])*SUMIF(trades[Symbol],trades[[#This Row],[Symbol]],trades[Qty]),"")</f>
        <v>-36.724999999999852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45663.392731481479</v>
      </c>
      <c r="B67" t="s">
        <v>72</v>
      </c>
      <c r="C67">
        <v>45</v>
      </c>
      <c r="D67">
        <v>7.18</v>
      </c>
      <c r="E67">
        <v>-323.09999999999997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6.6150000000000002</v>
      </c>
      <c r="H67" s="2">
        <f>IFERROR((trades[[#This Row],[Current Price]]-trades[[#This Row],[Avg Price]])*SUMIF(trades[Symbol],trades[[#This Row],[Symbol]],trades[Qty]),"")</f>
        <v>-36.724999999999852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45663.299363425926</v>
      </c>
      <c r="B68" t="s">
        <v>72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6.6150000000000002</v>
      </c>
      <c r="H68" s="2">
        <f>IFERROR((trades[[#This Row],[Current Price]]-trades[[#This Row],[Avg Price]])*SUMIF(trades[Symbol],trades[[#This Row],[Symbol]],trades[Qty]),"")</f>
        <v>-36.724999999999852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45663.301377314812</v>
      </c>
      <c r="B69" t="s">
        <v>72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6.6150000000000002</v>
      </c>
      <c r="H69" s="2">
        <f>IFERROR((trades[[#This Row],[Current Price]]-trades[[#This Row],[Avg Price]])*SUMIF(trades[Symbol],trades[[#This Row],[Symbol]],trades[Qty]),"")</f>
        <v>-36.724999999999852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45663.301111111112</v>
      </c>
      <c r="B70" t="s">
        <v>72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6.6150000000000002</v>
      </c>
      <c r="H70" s="2">
        <f>IFERROR((trades[[#This Row],[Current Price]]-trades[[#This Row],[Avg Price]])*SUMIF(trades[Symbol],trades[[#This Row],[Symbol]],trades[Qty]),"")</f>
        <v>-36.724999999999852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123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397.21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123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397.21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73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39.424999999999997</v>
      </c>
      <c r="H73" s="2">
        <f>IFERROR((trades[[#This Row],[Current Price]]-trades[[#This Row],[Avg Price]])*SUMIF(trades[Symbol],trades[[#This Row],[Symbol]],trades[Qty]),"")</f>
        <v>100.62499999999997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73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39.424999999999997</v>
      </c>
      <c r="H74" s="2">
        <f>IFERROR((trades[[#This Row],[Current Price]]-trades[[#This Row],[Avg Price]])*SUMIF(trades[Symbol],trades[[#This Row],[Symbol]],trades[Qty]),"")</f>
        <v>100.62499999999997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74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119.75</v>
      </c>
      <c r="H75" s="2">
        <f>IFERROR((trades[[#This Row],[Current Price]]-trades[[#This Row],[Avg Price]])*SUMIF(trades[Symbol],trades[[#This Row],[Symbol]],trades[Qty]),"")</f>
        <v>207.04999999999998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45744.442199074074</v>
      </c>
      <c r="B76" t="s">
        <v>75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70.38</v>
      </c>
      <c r="H76" s="2">
        <f>IFERROR((trades[[#This Row],[Current Price]]-trades[[#This Row],[Avg Price]])*SUMIF(trades[Symbol],trades[[#This Row],[Symbol]],trades[Qty]),"")</f>
        <v>567.59999999999991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45807.399710648147</v>
      </c>
      <c r="B77" t="s">
        <v>75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70.38</v>
      </c>
      <c r="H77" s="2">
        <f>IFERROR((trades[[#This Row],[Current Price]]-trades[[#This Row],[Avg Price]])*SUMIF(trades[Symbol],trades[[#This Row],[Symbol]],trades[Qty]),"")</f>
        <v>567.59999999999991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45784.590578703705</v>
      </c>
      <c r="B78" t="s">
        <v>76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49.09</v>
      </c>
      <c r="H78" s="2">
        <f>IFERROR((trades[[#This Row],[Current Price]]-trades[[#This Row],[Avg Price]])*SUMIF(trades[Symbol],trades[[#This Row],[Symbol]],trades[Qty]),"")</f>
        <v>361.10000000000008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45751.310370370367</v>
      </c>
      <c r="B79" t="s">
        <v>76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49.09</v>
      </c>
      <c r="H79" s="2">
        <f>IFERROR((trades[[#This Row],[Current Price]]-trades[[#This Row],[Avg Price]])*SUMIF(trades[Symbol],trades[[#This Row],[Symbol]],trades[Qty]),"")</f>
        <v>361.10000000000008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46000.395833333336</v>
      </c>
      <c r="B80" t="s">
        <v>77</v>
      </c>
      <c r="C80">
        <v>5</v>
      </c>
      <c r="D80">
        <v>115.5</v>
      </c>
      <c r="E80">
        <v>-577.5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106.88</v>
      </c>
      <c r="H80" s="2">
        <f>IFERROR((trades[[#This Row],[Current Price]]-trades[[#This Row],[Avg Price]])*SUMIF(trades[Symbol],trades[[#This Row],[Symbol]],trades[Qty]),"")</f>
        <v>-126.75000000000004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t="s">
        <v>77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106.88</v>
      </c>
      <c r="H81" s="2">
        <f>IFERROR((trades[[#This Row],[Current Price]]-trades[[#This Row],[Avg Price]])*SUMIF(trades[Symbol],trades[[#This Row],[Symbol]],trades[Qty]),"")</f>
        <v>-126.75000000000004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45937.395844907405</v>
      </c>
      <c r="B82" t="s">
        <v>77</v>
      </c>
      <c r="C82">
        <v>5</v>
      </c>
      <c r="D82">
        <v>134.49</v>
      </c>
      <c r="E82">
        <v>-672.45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106.88</v>
      </c>
      <c r="H82" s="2">
        <f>IFERROR((trades[[#This Row],[Current Price]]-trades[[#This Row],[Avg Price]])*SUMIF(trades[Symbol],trades[[#This Row],[Symbol]],trades[Qty]),"")</f>
        <v>-126.75000000000004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78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86.82</v>
      </c>
      <c r="H83" s="2">
        <f>IFERROR((trades[[#This Row],[Current Price]]-trades[[#This Row],[Avg Price]])*SUMIF(trades[Symbol],trades[[#This Row],[Symbol]],trades[Qty]),"")</f>
        <v>290.79999999999995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t="s">
        <v>78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86.82</v>
      </c>
      <c r="H84" s="2">
        <f>IFERROR((trades[[#This Row],[Current Price]]-trades[[#This Row],[Avg Price]])*SUMIF(trades[Symbol],trades[[#This Row],[Symbol]],trades[Qty]),"")</f>
        <v>290.79999999999995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t="s">
        <v>79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133.88999999999999</v>
      </c>
      <c r="H85" s="2">
        <f>IFERROR((trades[[#This Row],[Current Price]]-trades[[#This Row],[Avg Price]])*SUMIF(trades[Symbol],trades[[#This Row],[Symbol]],trades[Qty]),"")</f>
        <v>186.09999999999985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t="s">
        <v>79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133.88999999999999</v>
      </c>
      <c r="H86" s="2">
        <f>IFERROR((trades[[#This Row],[Current Price]]-trades[[#This Row],[Avg Price]])*SUMIF(trades[Symbol],trades[[#This Row],[Symbol]],trades[Qty]),"")</f>
        <v>186.09999999999985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t="s">
        <v>80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45.295000000000002</v>
      </c>
      <c r="H87" s="2">
        <f>IFERROR((trades[[#This Row],[Current Price]]-trades[[#This Row],[Avg Price]])*SUMIF(trades[Symbol],trades[[#This Row],[Symbol]],trades[Qty]),"")</f>
        <v>31.550000000000011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45810.395925925928</v>
      </c>
      <c r="B88" t="s">
        <v>81</v>
      </c>
      <c r="C88">
        <v>45</v>
      </c>
      <c r="D88">
        <v>9.93</v>
      </c>
      <c r="E88">
        <v>-446.84999999999997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8.0649999999999995</v>
      </c>
      <c r="H88" s="2">
        <f>IFERROR((trades[[#This Row],[Current Price]]-trades[[#This Row],[Avg Price]])*SUMIF(trades[Symbol],trades[[#This Row],[Symbol]],trades[Qty]),"")</f>
        <v>-333.77500000000003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45747.291678240741</v>
      </c>
      <c r="B89" t="s">
        <v>81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8.0649999999999995</v>
      </c>
      <c r="H89" s="2">
        <f>IFERROR((trades[[#This Row],[Current Price]]-trades[[#This Row],[Avg Price]])*SUMIF(trades[Symbol],trades[[#This Row],[Symbol]],trades[Qty]),"")</f>
        <v>-333.77500000000003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45874.395844907405</v>
      </c>
      <c r="B90" t="s">
        <v>81</v>
      </c>
      <c r="C90">
        <v>45</v>
      </c>
      <c r="D90">
        <v>10.67</v>
      </c>
      <c r="E90">
        <v>-480.15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8.0649999999999995</v>
      </c>
      <c r="H90" s="2">
        <f>IFERROR((trades[[#This Row],[Current Price]]-trades[[#This Row],[Avg Price]])*SUMIF(trades[Symbol],trades[[#This Row],[Symbol]],trades[Qty]),"")</f>
        <v>-333.77500000000003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45810.374930555554</v>
      </c>
      <c r="B91" t="s">
        <v>81</v>
      </c>
      <c r="C91">
        <v>5</v>
      </c>
      <c r="D91">
        <v>9.93</v>
      </c>
      <c r="E91">
        <v>-49.65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8.0649999999999995</v>
      </c>
      <c r="H91" s="2">
        <f>IFERROR((trades[[#This Row],[Current Price]]-trades[[#This Row],[Avg Price]])*SUMIF(trades[Symbol],trades[[#This Row],[Symbol]],trades[Qty]),"")</f>
        <v>-333.77500000000003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45807.379004629627</v>
      </c>
      <c r="B92" t="s">
        <v>82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19.43</v>
      </c>
      <c r="H92" s="2">
        <f>IFERROR((trades[[#This Row],[Current Price]]-trades[[#This Row],[Avg Price]])*SUMIF(trades[Symbol],trades[[#This Row],[Symbol]],trades[Qty]),"")</f>
        <v>32.249999999999979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t="s">
        <v>82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19.43</v>
      </c>
      <c r="H93" s="2">
        <f>IFERROR((trades[[#This Row],[Current Price]]-trades[[#This Row],[Avg Price]])*SUMIF(trades[Symbol],trades[[#This Row],[Symbol]],trades[Qty]),"")</f>
        <v>32.249999999999979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45810.397222222222</v>
      </c>
      <c r="B94" t="s">
        <v>82</v>
      </c>
      <c r="C94">
        <v>25</v>
      </c>
      <c r="D94">
        <v>19</v>
      </c>
      <c r="E94">
        <v>-475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19.43</v>
      </c>
      <c r="H94" s="2">
        <f>IFERROR((trades[[#This Row],[Current Price]]-trades[[#This Row],[Avg Price]])*SUMIF(trades[Symbol],trades[[#This Row],[Symbol]],trades[Qty]),"")</f>
        <v>32.249999999999979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t="s">
        <v>83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24.385000000000002</v>
      </c>
      <c r="H95" s="2">
        <f>IFERROR((trades[[#This Row],[Current Price]]-trades[[#This Row],[Avg Price]])*SUMIF(trades[Symbol],trades[[#This Row],[Symbol]],trades[Qty]),"")</f>
        <v>37.30000000000004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t="s">
        <v>84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12.95</v>
      </c>
      <c r="H96" s="2">
        <f>IFERROR((trades[[#This Row],[Current Price]]-trades[[#This Row],[Avg Price]])*SUMIF(trades[Symbol],trades[[#This Row],[Symbol]],trades[Qty]),"")</f>
        <v>34.499999999999957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t="s">
        <v>85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6.585</v>
      </c>
      <c r="H97" s="2">
        <f>IFERROR((trades[[#This Row],[Current Price]]-trades[[#This Row],[Avg Price]])*SUMIF(trades[Symbol],trades[[#This Row],[Symbol]],trades[Qty]),"")</f>
        <v>-312.45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45845.596875000003</v>
      </c>
      <c r="B98" t="s">
        <v>86</v>
      </c>
      <c r="C98">
        <v>10</v>
      </c>
      <c r="D98">
        <v>35.5</v>
      </c>
      <c r="E98">
        <v>-355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8" s="2">
        <f>RTD("tos.rtd", , "LAST", trades[[#This Row],[Symbol]])</f>
        <v>80.52</v>
      </c>
      <c r="H98" s="2">
        <f>IFERROR((trades[[#This Row],[Current Price]]-trades[[#This Row],[Avg Price]])*SUMIF(trades[Symbol],trades[[#This Row],[Symbol]],trades[Qty]),"")</f>
        <v>450.19999999999993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45782.458761574075</v>
      </c>
      <c r="B99" t="s">
        <v>87</v>
      </c>
      <c r="C99">
        <v>10</v>
      </c>
      <c r="D99">
        <v>39.99</v>
      </c>
      <c r="E99">
        <v>-399.90000000000003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9" s="2">
        <f>RTD("tos.rtd", , "LAST", trades[[#This Row],[Symbol]])</f>
        <v>72.709999999999994</v>
      </c>
      <c r="H99" s="2">
        <f>IFERROR((trades[[#This Row],[Current Price]]-trades[[#This Row],[Avg Price]])*SUMIF(trades[Symbol],trades[[#This Row],[Symbol]],trades[Qty]),"")</f>
        <v>327.19999999999993</v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45937.395856481482</v>
      </c>
      <c r="B100" t="s">
        <v>88</v>
      </c>
      <c r="C100">
        <v>10</v>
      </c>
      <c r="D100">
        <v>41.42</v>
      </c>
      <c r="E100">
        <v>-414.20000000000005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55.77</v>
      </c>
      <c r="H100" s="2">
        <f>IFERROR((trades[[#This Row],[Current Price]]-trades[[#This Row],[Avg Price]])*SUMIF(trades[Symbol],trades[[#This Row],[Symbol]],trades[Qty]),"")</f>
        <v>346.10000000000014</v>
      </c>
      <c r="I10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1" spans="1:9" x14ac:dyDescent="0.25">
      <c r="A101" s="1">
        <v>45782.395844907405</v>
      </c>
      <c r="B101" t="s">
        <v>88</v>
      </c>
      <c r="C101">
        <v>10</v>
      </c>
      <c r="D101">
        <v>35.51</v>
      </c>
      <c r="E101">
        <v>-355.09999999999997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1" s="2">
        <f>RTD("tos.rtd", , "LAST", trades[[#This Row],[Symbol]])</f>
        <v>55.77</v>
      </c>
      <c r="H101" s="2">
        <f>IFERROR((trades[[#This Row],[Current Price]]-trades[[#This Row],[Avg Price]])*SUMIF(trades[Symbol],trades[[#This Row],[Symbol]],trades[Qty]),"")</f>
        <v>346.10000000000014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45902.395844907405</v>
      </c>
      <c r="B102" t="s">
        <v>89</v>
      </c>
      <c r="C102">
        <v>25</v>
      </c>
      <c r="D102">
        <v>21.1</v>
      </c>
      <c r="E102">
        <v>-527.5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20.984999999999999</v>
      </c>
      <c r="H102" s="2">
        <f>IFERROR((trades[[#This Row],[Current Price]]-trades[[#This Row],[Avg Price]])*SUMIF(trades[Symbol],trades[[#This Row],[Symbol]],trades[Qty]),"")</f>
        <v>635.17499999999984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45807.521608796298</v>
      </c>
      <c r="B103" t="s">
        <v>89</v>
      </c>
      <c r="C103">
        <v>30</v>
      </c>
      <c r="D103">
        <v>16.600000000000001</v>
      </c>
      <c r="E103">
        <v>-498.00000000000006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20.984999999999999</v>
      </c>
      <c r="H103" s="2">
        <f>IFERROR((trades[[#This Row],[Current Price]]-trades[[#This Row],[Avg Price]])*SUMIF(trades[Symbol],trades[[#This Row],[Symbol]],trades[Qty]),"")</f>
        <v>635.17499999999984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45751.296539351853</v>
      </c>
      <c r="B104" t="s">
        <v>89</v>
      </c>
      <c r="C104">
        <v>25</v>
      </c>
      <c r="D104">
        <v>17</v>
      </c>
      <c r="E104">
        <v>-425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20.984999999999999</v>
      </c>
      <c r="H104" s="2">
        <f>IFERROR((trades[[#This Row],[Current Price]]-trades[[#This Row],[Avg Price]])*SUMIF(trades[Symbol],trades[[#This Row],[Symbol]],trades[Qty]),"")</f>
        <v>635.17499999999984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45810.291759259257</v>
      </c>
      <c r="B105" t="s">
        <v>89</v>
      </c>
      <c r="C105">
        <v>30</v>
      </c>
      <c r="D105">
        <v>16.72</v>
      </c>
      <c r="E105">
        <v>-501.59999999999997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20.984999999999999</v>
      </c>
      <c r="H105" s="2">
        <f>IFERROR((trades[[#This Row],[Current Price]]-trades[[#This Row],[Avg Price]])*SUMIF(trades[Symbol],trades[[#This Row],[Symbol]],trades[Qty]),"")</f>
        <v>635.17499999999984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45874.395833333336</v>
      </c>
      <c r="B106" t="s">
        <v>89</v>
      </c>
      <c r="C106">
        <v>30</v>
      </c>
      <c r="D106">
        <v>16.34</v>
      </c>
      <c r="E106">
        <v>-490.2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20.984999999999999</v>
      </c>
      <c r="H106" s="2">
        <f>IFERROR((trades[[#This Row],[Current Price]]-trades[[#This Row],[Avg Price]])*SUMIF(trades[Symbol],trades[[#This Row],[Symbol]],trades[Qty]),"")</f>
        <v>635.17499999999984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45751.296539351853</v>
      </c>
      <c r="B107" t="s">
        <v>89</v>
      </c>
      <c r="C107">
        <v>5</v>
      </c>
      <c r="D107">
        <v>16.98</v>
      </c>
      <c r="E107">
        <v>-84.9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20.984999999999999</v>
      </c>
      <c r="H107" s="2">
        <f>IFERROR((trades[[#This Row],[Current Price]]-trades[[#This Row],[Avg Price]])*SUMIF(trades[Symbol],trades[[#This Row],[Symbol]],trades[Qty]),"")</f>
        <v>635.17499999999984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t="s">
        <v>89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20.984999999999999</v>
      </c>
      <c r="H108" s="2">
        <f>IFERROR((trades[[#This Row],[Current Price]]-trades[[#This Row],[Avg Price]])*SUMIF(trades[Symbol],trades[[#This Row],[Symbol]],trades[Qty]),"")</f>
        <v>635.17499999999984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45902.395856481482</v>
      </c>
      <c r="B109" t="s">
        <v>90</v>
      </c>
      <c r="C109">
        <v>5</v>
      </c>
      <c r="D109">
        <v>95.03</v>
      </c>
      <c r="E109">
        <v>-475.15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9" s="2">
        <f>RTD("tos.rtd", , "LAST", trades[[#This Row],[Symbol]])</f>
        <v>115.355</v>
      </c>
      <c r="H109" s="2">
        <f>IFERROR((trades[[#This Row],[Current Price]]-trades[[#This Row],[Avg Price]])*SUMIF(trades[Symbol],trades[[#This Row],[Symbol]],trades[Qty]),"")</f>
        <v>101.62500000000001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45902.395856481482</v>
      </c>
      <c r="B110" t="s">
        <v>91</v>
      </c>
      <c r="C110">
        <v>5</v>
      </c>
      <c r="D110">
        <v>66.14</v>
      </c>
      <c r="E110">
        <v>-330.7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0" s="2">
        <f>RTD("tos.rtd", , "LAST", trades[[#This Row],[Symbol]])</f>
        <v>64.6875</v>
      </c>
      <c r="H110" s="2">
        <f>IFERROR((trades[[#This Row],[Current Price]]-trades[[#This Row],[Avg Price]])*SUMIF(trades[Symbol],trades[[#This Row],[Symbol]],trades[Qty]),"")</f>
        <v>-7.7874999999999517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45937.398043981484</v>
      </c>
      <c r="B111" t="s">
        <v>91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1" s="2">
        <f>RTD("tos.rtd", , "LAST", trades[[#This Row],[Symbol]])</f>
        <v>64.6875</v>
      </c>
      <c r="H111" s="2">
        <f>IFERROR((trades[[#This Row],[Current Price]]-trades[[#This Row],[Avg Price]])*SUMIF(trades[Symbol],trades[[#This Row],[Symbol]],trades[Qty]),"")</f>
        <v>-7.7874999999999517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45840.418263888889</v>
      </c>
      <c r="B112" t="s">
        <v>91</v>
      </c>
      <c r="C112">
        <v>5</v>
      </c>
      <c r="D112">
        <v>64</v>
      </c>
      <c r="E112">
        <v>-320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65.206666666666663</v>
      </c>
      <c r="G112" s="2">
        <f>RTD("tos.rtd", , "LAST", trades[[#This Row],[Symbol]])</f>
        <v>64.6875</v>
      </c>
      <c r="H112" s="2">
        <f>IFERROR((trades[[#This Row],[Current Price]]-trades[[#This Row],[Avg Price]])*SUMIF(trades[Symbol],trades[[#This Row],[Symbol]],trades[Qty]),"")</f>
        <v>-7.7874999999999517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45874.395856481482</v>
      </c>
      <c r="B113" t="s">
        <v>92</v>
      </c>
      <c r="C113">
        <v>65</v>
      </c>
      <c r="D113">
        <v>6.85</v>
      </c>
      <c r="E113">
        <v>-445.25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5.48</v>
      </c>
      <c r="H113" s="2">
        <f>IFERROR((trades[[#This Row],[Current Price]]-trades[[#This Row],[Avg Price]])*SUMIF(trades[Symbol],trades[[#This Row],[Symbol]],trades[Qty]),"")</f>
        <v>-95.899999999999949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45874.395856481482</v>
      </c>
      <c r="B114" t="s">
        <v>92</v>
      </c>
      <c r="C114">
        <v>5</v>
      </c>
      <c r="D114">
        <v>6.85</v>
      </c>
      <c r="E114">
        <v>-34.25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4" s="2">
        <f>RTD("tos.rtd", , "LAST", trades[[#This Row],[Symbol]])</f>
        <v>5.48</v>
      </c>
      <c r="H114" s="2">
        <f>IFERROR((trades[[#This Row],[Current Price]]-trades[[#This Row],[Avg Price]])*SUMIF(trades[Symbol],trades[[#This Row],[Symbol]],trades[Qty]),"")</f>
        <v>-95.899999999999949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45782.396736111114</v>
      </c>
      <c r="B115" t="s">
        <v>93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77.19</v>
      </c>
      <c r="H115" s="2">
        <f>IFERROR((trades[[#This Row],[Current Price]]-trades[[#This Row],[Avg Price]])*SUMIF(trades[Symbol],trades[[#This Row],[Symbol]],trades[Qty]),"")</f>
        <v>90.949999999999989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46056.666666666664</v>
      </c>
      <c r="B116" t="s">
        <v>94</v>
      </c>
      <c r="C116">
        <v>-15</v>
      </c>
      <c r="D116">
        <v>28.05</v>
      </c>
      <c r="E116">
        <v>420.75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29.934999999999999</v>
      </c>
      <c r="H116" s="2" t="str">
        <f>IFERROR((trades[[#This Row],[Current Price]]-trades[[#This Row],[Avg Price]])*SUMIF(trades[Symbol],trades[[#This Row],[Symbol]],trades[Qty]),"")</f>
        <v/>
      </c>
      <c r="I11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17" spans="1:9" x14ac:dyDescent="0.25">
      <c r="A117" s="1">
        <v>45902.395902777775</v>
      </c>
      <c r="B117" t="s">
        <v>94</v>
      </c>
      <c r="C117">
        <v>15</v>
      </c>
      <c r="D117">
        <v>33.520000000000003</v>
      </c>
      <c r="E117">
        <v>-502.80000000000007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7" s="2">
        <f>RTD("tos.rtd", , "LAST", trades[[#This Row],[Symbol]])</f>
        <v>29.934999999999999</v>
      </c>
      <c r="H117" s="2">
        <f>IFERROR((trades[[#This Row],[Current Price]]-trades[[#This Row],[Avg Price]])*SUMIF(trades[Symbol],trades[[#This Row],[Symbol]],trades[Qty]),"")</f>
        <v>-44.250000000000099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45937.395844907405</v>
      </c>
      <c r="B118" t="s">
        <v>94</v>
      </c>
      <c r="C118">
        <v>15</v>
      </c>
      <c r="D118">
        <v>32.25</v>
      </c>
      <c r="E118">
        <v>-483.75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8" s="2">
        <f>RTD("tos.rtd", , "LAST", trades[[#This Row],[Symbol]])</f>
        <v>29.934999999999999</v>
      </c>
      <c r="H118" s="2">
        <f>IFERROR((trades[[#This Row],[Current Price]]-trades[[#This Row],[Avg Price]])*SUMIF(trades[Symbol],trades[[#This Row],[Symbol]],trades[Qty]),"")</f>
        <v>-44.250000000000099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45874.395844907405</v>
      </c>
      <c r="B119" t="s">
        <v>95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17.78</v>
      </c>
      <c r="H119" s="2">
        <f>IFERROR((trades[[#This Row],[Current Price]]-trades[[#This Row],[Avg Price]])*SUMIF(trades[Symbol],trades[[#This Row],[Symbol]],trades[Qty]),"")</f>
        <v>286.39999999999998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45810.291666666664</v>
      </c>
      <c r="B120" t="s">
        <v>95</v>
      </c>
      <c r="C120">
        <v>35</v>
      </c>
      <c r="D120">
        <v>13.9</v>
      </c>
      <c r="E120">
        <v>-486.5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17.78</v>
      </c>
      <c r="H120" s="2">
        <f>IFERROR((trades[[#This Row],[Current Price]]-trades[[#This Row],[Avg Price]])*SUMIF(trades[Symbol],trades[[#This Row],[Symbol]],trades[Qty]),"")</f>
        <v>286.39999999999998</v>
      </c>
      <c r="I12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1" spans="1:9" x14ac:dyDescent="0.25">
      <c r="A121" s="1">
        <v>45840.395891203705</v>
      </c>
      <c r="B121" t="s">
        <v>95</v>
      </c>
      <c r="C121">
        <v>30</v>
      </c>
      <c r="D121">
        <v>15.05</v>
      </c>
      <c r="E121">
        <v>-451.5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17.78</v>
      </c>
      <c r="H121" s="2">
        <f>IFERROR((trades[[#This Row],[Current Price]]-trades[[#This Row],[Avg Price]])*SUMIF(trades[Symbol],trades[[#This Row],[Symbol]],trades[Qty]),"")</f>
        <v>286.39999999999998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45806.422905092593</v>
      </c>
      <c r="B122" t="s">
        <v>96</v>
      </c>
      <c r="C122">
        <v>175</v>
      </c>
      <c r="D122">
        <v>2.9083999999999999</v>
      </c>
      <c r="E122">
        <v>-508.96999999999997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2.16</v>
      </c>
      <c r="H122" s="2">
        <f>IFERROR((trades[[#This Row],[Current Price]]-trades[[#This Row],[Avg Price]])*SUMIF(trades[Symbol],trades[[#This Row],[Symbol]],trades[Qty]),"")</f>
        <v>-334.12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45902.395868055559</v>
      </c>
      <c r="B123" t="s">
        <v>96</v>
      </c>
      <c r="C123">
        <v>175</v>
      </c>
      <c r="D123">
        <v>2.75</v>
      </c>
      <c r="E123">
        <v>-481.25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2.16</v>
      </c>
      <c r="H123" s="2">
        <f>IFERROR((trades[[#This Row],[Current Price]]-trades[[#This Row],[Avg Price]])*SUMIF(trades[Symbol],trades[[#This Row],[Symbol]],trades[Qty]),"")</f>
        <v>-334.12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45874.395844907405</v>
      </c>
      <c r="B124" t="s">
        <v>96</v>
      </c>
      <c r="C124">
        <v>185</v>
      </c>
      <c r="D124">
        <v>2.7</v>
      </c>
      <c r="E124">
        <v>-499.50000000000006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2.16</v>
      </c>
      <c r="H124" s="2">
        <f>IFERROR((trades[[#This Row],[Current Price]]-trades[[#This Row],[Avg Price]])*SUMIF(trades[Symbol],trades[[#This Row],[Symbol]],trades[Qty]),"")</f>
        <v>-334.12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45902.395856481482</v>
      </c>
      <c r="B125" t="s">
        <v>97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5" s="2">
        <f>RTD("tos.rtd", , "LAST", trades[[#This Row],[Symbol]])</f>
        <v>5.0199999999999996</v>
      </c>
      <c r="H125" s="2">
        <f>IFERROR((trades[[#This Row],[Current Price]]-trades[[#This Row],[Avg Price]])*SUMIF(trades[Symbol],trades[[#This Row],[Symbol]],trades[Qty]),"")</f>
        <v>-746.6500000000002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t="s">
        <v>97</v>
      </c>
      <c r="C126">
        <v>35</v>
      </c>
      <c r="D126">
        <v>13.74</v>
      </c>
      <c r="E126">
        <v>-480.90000000000003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6" s="2">
        <f>RTD("tos.rtd", , "LAST", trades[[#This Row],[Symbol]])</f>
        <v>5.0199999999999996</v>
      </c>
      <c r="H126" s="2">
        <f>IFERROR((trades[[#This Row],[Current Price]]-trades[[#This Row],[Avg Price]])*SUMIF(trades[Symbol],trades[[#This Row],[Symbol]],trades[Qty]),"")</f>
        <v>-746.6500000000002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45574.393252314818</v>
      </c>
      <c r="B127" t="s">
        <v>97</v>
      </c>
      <c r="C127">
        <v>40</v>
      </c>
      <c r="D127">
        <v>7.21</v>
      </c>
      <c r="E127">
        <v>-288.39999999999998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7" s="2">
        <f>RTD("tos.rtd", , "LAST", trades[[#This Row],[Symbol]])</f>
        <v>5.0199999999999996</v>
      </c>
      <c r="H127" s="2">
        <f>IFERROR((trades[[#This Row],[Current Price]]-trades[[#This Row],[Avg Price]])*SUMIF(trades[Symbol],trades[[#This Row],[Symbol]],trades[Qty]),"")</f>
        <v>-746.6500000000002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45574.356805555559</v>
      </c>
      <c r="B128" t="s">
        <v>97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8" s="2">
        <f>RTD("tos.rtd", , "LAST", trades[[#This Row],[Symbol]])</f>
        <v>5.0199999999999996</v>
      </c>
      <c r="H128" s="2">
        <f>IFERROR((trades[[#This Row],[Current Price]]-trades[[#This Row],[Avg Price]])*SUMIF(trades[Symbol],trades[[#This Row],[Symbol]],trades[Qty]),"")</f>
        <v>-746.6500000000002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45574.311527777776</v>
      </c>
      <c r="B129" t="s">
        <v>97</v>
      </c>
      <c r="C129">
        <v>20</v>
      </c>
      <c r="D129">
        <v>7.21</v>
      </c>
      <c r="E129">
        <v>-144.19999999999999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9" s="2">
        <f>RTD("tos.rtd", , "LAST", trades[[#This Row],[Symbol]])</f>
        <v>5.0199999999999996</v>
      </c>
      <c r="H129" s="2">
        <f>IFERROR((trades[[#This Row],[Current Price]]-trades[[#This Row],[Avg Price]])*SUMIF(trades[Symbol],trades[[#This Row],[Symbol]],trades[Qty]),"")</f>
        <v>-746.6500000000002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45663.659062500003</v>
      </c>
      <c r="B130" t="s">
        <v>98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7.1550000000000002</v>
      </c>
      <c r="H130" s="2">
        <f>IFERROR((trades[[#This Row],[Current Price]]-trades[[#This Row],[Avg Price]])*SUMIF(trades[Symbol],trades[[#This Row],[Symbol]],trades[Qty]),"")</f>
        <v>315.5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45574.291666666664</v>
      </c>
      <c r="B131" t="s">
        <v>99</v>
      </c>
      <c r="C131">
        <v>75</v>
      </c>
      <c r="D131">
        <v>6.3</v>
      </c>
      <c r="E131">
        <v>-472.5</v>
      </c>
      <c r="F13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1" s="2">
        <f>RTD("tos.rtd", , "LAST", trades[[#This Row],[Symbol]])</f>
        <v>3.7349999999999999</v>
      </c>
      <c r="H131" s="2" t="str">
        <f>IFERROR((trades[[#This Row],[Current Price]]-trades[[#This Row],[Avg Price]])*SUMIF(trades[Symbol],trades[[#This Row],[Symbol]],trades[Qty]),"")</f>
        <v/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45847.490763888891</v>
      </c>
      <c r="B132" t="s">
        <v>99</v>
      </c>
      <c r="C132">
        <v>-40</v>
      </c>
      <c r="D132">
        <v>6</v>
      </c>
      <c r="E132">
        <v>240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3.7349999999999999</v>
      </c>
      <c r="H132" s="2" t="str">
        <f>IFERROR((trades[[#This Row],[Current Price]]-trades[[#This Row],[Avg Price]])*SUMIF(trades[Symbol],trades[[#This Row],[Symbol]],trades[Qty]),"")</f>
        <v/>
      </c>
      <c r="I13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3" spans="1:9" x14ac:dyDescent="0.25">
      <c r="A133" s="1">
        <v>46062.395833333336</v>
      </c>
      <c r="B133" t="s">
        <v>99</v>
      </c>
      <c r="C133">
        <v>-40</v>
      </c>
      <c r="D133">
        <v>3.85</v>
      </c>
      <c r="E133">
        <v>154</v>
      </c>
      <c r="F133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3" s="2">
        <f>RTD("tos.rtd", , "LAST", trades[[#This Row],[Symbol]])</f>
        <v>3.7349999999999999</v>
      </c>
      <c r="H133" s="2" t="str">
        <f>IFERROR((trades[[#This Row],[Current Price]]-trades[[#This Row],[Avg Price]])*SUMIF(trades[Symbol],trades[[#This Row],[Symbol]],trades[Qty]),"")</f>
        <v/>
      </c>
      <c r="I133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4" spans="1:9" x14ac:dyDescent="0.25">
      <c r="A134" s="1">
        <v>45720.419664351852</v>
      </c>
      <c r="B134" t="s">
        <v>99</v>
      </c>
      <c r="C134">
        <v>25</v>
      </c>
      <c r="D134">
        <v>6.26</v>
      </c>
      <c r="E134">
        <v>-156.5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3.7349999999999999</v>
      </c>
      <c r="H134" s="2" t="str">
        <f>IFERROR((trades[[#This Row],[Current Price]]-trades[[#This Row],[Avg Price]])*SUMIF(trades[Symbol],trades[[#This Row],[Symbol]],trades[Qty]),"")</f>
        <v/>
      </c>
      <c r="I1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5" spans="1:9" x14ac:dyDescent="0.25">
      <c r="A135" s="1">
        <v>46076.666666666664</v>
      </c>
      <c r="B135" t="s">
        <v>99</v>
      </c>
      <c r="C135">
        <v>-20</v>
      </c>
      <c r="D135">
        <v>3.73</v>
      </c>
      <c r="E135">
        <v>74.599999999999994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3.7349999999999999</v>
      </c>
      <c r="H135" s="2" t="str">
        <f>IFERROR((trades[[#This Row],[Current Price]]-trades[[#This Row],[Avg Price]])*SUMIF(trades[Symbol],trades[[#This Row],[Symbol]],trades[Qty]),"")</f>
        <v/>
      </c>
      <c r="I13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6" spans="1:9" x14ac:dyDescent="0.25">
      <c r="A136" s="1">
        <v>45937.395856481482</v>
      </c>
      <c r="B136" t="s">
        <v>100</v>
      </c>
      <c r="C136">
        <v>10</v>
      </c>
      <c r="D136">
        <v>43.19</v>
      </c>
      <c r="E136">
        <v>-431.9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6" s="2">
        <f>RTD("tos.rtd", , "LAST", trades[[#This Row],[Symbol]])</f>
        <v>56.09</v>
      </c>
      <c r="H136" s="2">
        <f>IFERROR((trades[[#This Row],[Current Price]]-trades[[#This Row],[Avg Price]])*SUMIF(trades[Symbol],trades[[#This Row],[Symbol]],trades[Qty]),"")</f>
        <v>249.7</v>
      </c>
      <c r="I1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7" spans="1:9" x14ac:dyDescent="0.25">
      <c r="A137" s="1">
        <v>45902.395844907405</v>
      </c>
      <c r="B137" t="s">
        <v>100</v>
      </c>
      <c r="C137">
        <v>10</v>
      </c>
      <c r="D137">
        <v>44.02</v>
      </c>
      <c r="E137">
        <v>-440.20000000000005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7" s="2">
        <f>RTD("tos.rtd", , "LAST", trades[[#This Row],[Symbol]])</f>
        <v>56.09</v>
      </c>
      <c r="H137" s="2">
        <f>IFERROR((trades[[#This Row],[Current Price]]-trades[[#This Row],[Avg Price]])*SUMIF(trades[Symbol],trades[[#This Row],[Symbol]],trades[Qty]),"")</f>
        <v>249.7</v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45840.395833333336</v>
      </c>
      <c r="B138" t="s">
        <v>101</v>
      </c>
      <c r="C138">
        <v>5</v>
      </c>
      <c r="D138">
        <v>77.099999999999994</v>
      </c>
      <c r="E138">
        <v>-385.5</v>
      </c>
      <c r="F1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8" s="2">
        <f>RTD("tos.rtd", , "LAST", trades[[#This Row],[Symbol]])</f>
        <v>85.82</v>
      </c>
      <c r="H138" s="2">
        <f>IFERROR((trades[[#This Row],[Current Price]]-trades[[#This Row],[Avg Price]])*SUMIF(trades[Symbol],trades[[#This Row],[Symbol]],trades[Qty]),"")</f>
        <v>96.700000000000088</v>
      </c>
      <c r="I1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9" spans="1:9" x14ac:dyDescent="0.25">
      <c r="A139" s="1">
        <v>45810.291666666664</v>
      </c>
      <c r="B139" t="s">
        <v>101</v>
      </c>
      <c r="C139">
        <v>5</v>
      </c>
      <c r="D139">
        <v>80.989999999999995</v>
      </c>
      <c r="E139">
        <v>-404.95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9" s="2">
        <f>RTD("tos.rtd", , "LAST", trades[[#This Row],[Symbol]])</f>
        <v>85.82</v>
      </c>
      <c r="H139" s="2">
        <f>IFERROR((trades[[#This Row],[Current Price]]-trades[[#This Row],[Avg Price]])*SUMIF(trades[Symbol],trades[[#This Row],[Symbol]],trades[Qty]),"")</f>
        <v>96.700000000000088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45902.395856481482</v>
      </c>
      <c r="B140" t="s">
        <v>101</v>
      </c>
      <c r="C140">
        <v>5</v>
      </c>
      <c r="D140">
        <v>80.03</v>
      </c>
      <c r="E140">
        <v>-400.15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0" s="2">
        <f>RTD("tos.rtd", , "LAST", trades[[#This Row],[Symbol]])</f>
        <v>85.82</v>
      </c>
      <c r="H140" s="2">
        <f>IFERROR((trades[[#This Row],[Current Price]]-trades[[#This Row],[Avg Price]])*SUMIF(trades[Symbol],trades[[#This Row],[Symbol]],trades[Qty]),"")</f>
        <v>96.700000000000088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0">
    <cfRule type="cellIs" dxfId="18" priority="3" operator="lessThan">
      <formula>0</formula>
    </cfRule>
    <cfRule type="cellIs" dxfId="17" priority="4" operator="greaterThan">
      <formula>0</formula>
    </cfRule>
  </conditionalFormatting>
  <conditionalFormatting sqref="C2:C140">
    <cfRule type="cellIs" dxfId="16" priority="1" operator="lessThan">
      <formula>0</formula>
    </cfRule>
    <cfRule type="cellIs" dxfId="15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69"/>
  <sheetViews>
    <sheetView tabSelected="1" zoomScale="120" zoomScaleNormal="120" workbookViewId="0">
      <pane ySplit="4" topLeftCell="A5" activePane="bottomLeft" state="frozen"/>
      <selection pane="bottomLeft" activeCell="H13" sqref="H13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bestFit="1" customWidth="1"/>
    <col min="8" max="8" width="13" customWidth="1"/>
    <col min="9" max="9" width="16.7109375" bestFit="1" customWidth="1"/>
    <col min="10" max="10" width="11" bestFit="1" customWidth="1"/>
    <col min="11" max="11" width="14.140625" bestFit="1" customWidth="1"/>
    <col min="12" max="12" width="11" bestFit="1" customWidth="1"/>
    <col min="13" max="13" width="13.7109375" customWidth="1"/>
    <col min="14" max="14" width="11" bestFit="1" customWidth="1"/>
    <col min="15" max="15" width="11.140625" customWidth="1"/>
    <col min="16" max="17" width="11" bestFit="1" customWidth="1"/>
    <col min="18" max="18" width="12.7109375" customWidth="1"/>
    <col min="19" max="19" width="12.5703125" customWidth="1"/>
    <col min="20" max="20" width="7" customWidth="1"/>
    <col min="21" max="21" width="13.42578125" customWidth="1"/>
    <col min="22" max="22" width="5.42578125" customWidth="1"/>
    <col min="23" max="23" width="24.7109375" customWidth="1"/>
    <col min="24" max="24" width="15.85546875" customWidth="1"/>
    <col min="25" max="25" width="15.42578125" customWidth="1"/>
    <col min="26" max="27" width="6.42578125" bestFit="1" customWidth="1"/>
    <col min="28" max="28" width="6.140625" customWidth="1"/>
    <col min="29" max="29" width="6.42578125" bestFit="1" customWidth="1"/>
    <col min="30" max="30" width="3.28515625" bestFit="1" customWidth="1"/>
    <col min="31" max="31" width="6.42578125" bestFit="1" customWidth="1"/>
    <col min="32" max="32" width="5.42578125" bestFit="1" customWidth="1"/>
    <col min="33" max="33" width="3.28515625" bestFit="1" customWidth="1"/>
    <col min="34" max="36" width="6.42578125" bestFit="1" customWidth="1"/>
    <col min="37" max="37" width="3.28515625" bestFit="1" customWidth="1"/>
    <col min="38" max="38" width="6.42578125" bestFit="1" customWidth="1"/>
    <col min="39" max="40" width="3.28515625" bestFit="1" customWidth="1"/>
    <col min="41" max="42" width="5.42578125" bestFit="1" customWidth="1"/>
    <col min="43" max="43" width="3.28515625" bestFit="1" customWidth="1"/>
    <col min="44" max="45" width="6.42578125" bestFit="1" customWidth="1"/>
    <col min="46" max="46" width="4.28515625" bestFit="1" customWidth="1"/>
    <col min="47" max="47" width="6.42578125" bestFit="1" customWidth="1"/>
    <col min="48" max="48" width="5.42578125" bestFit="1" customWidth="1"/>
    <col min="49" max="50" width="6.42578125" bestFit="1" customWidth="1"/>
    <col min="51" max="51" width="5.42578125" bestFit="1" customWidth="1"/>
    <col min="52" max="52" width="6.42578125" bestFit="1" customWidth="1"/>
    <col min="53" max="53" width="5.42578125" bestFit="1" customWidth="1"/>
    <col min="54" max="54" width="4.28515625" bestFit="1" customWidth="1"/>
    <col min="55" max="55" width="6.42578125" bestFit="1" customWidth="1"/>
    <col min="56" max="56" width="5.42578125" bestFit="1" customWidth="1"/>
    <col min="57" max="57" width="6.42578125" bestFit="1" customWidth="1"/>
    <col min="58" max="58" width="3.28515625" bestFit="1" customWidth="1"/>
    <col min="59" max="60" width="6.42578125" bestFit="1" customWidth="1"/>
    <col min="61" max="61" width="5.42578125" bestFit="1" customWidth="1"/>
    <col min="62" max="62" width="6.42578125" bestFit="1" customWidth="1"/>
    <col min="63" max="63" width="3.28515625" bestFit="1" customWidth="1"/>
    <col min="64" max="66" width="6.42578125" bestFit="1" customWidth="1"/>
    <col min="67" max="67" width="4.28515625" bestFit="1" customWidth="1"/>
    <col min="68" max="68" width="6.42578125" bestFit="1" customWidth="1"/>
    <col min="69" max="69" width="5.42578125" bestFit="1" customWidth="1"/>
    <col min="70" max="72" width="6.42578125" bestFit="1" customWidth="1"/>
    <col min="73" max="73" width="4.28515625" bestFit="1" customWidth="1"/>
    <col min="74" max="76" width="6.42578125" bestFit="1" customWidth="1"/>
    <col min="77" max="78" width="5.42578125" bestFit="1" customWidth="1"/>
    <col min="79" max="79" width="4.28515625" bestFit="1" customWidth="1"/>
    <col min="80" max="80" width="6.42578125" bestFit="1" customWidth="1"/>
    <col min="81" max="81" width="4.28515625" bestFit="1" customWidth="1"/>
    <col min="82" max="86" width="6.42578125" bestFit="1" customWidth="1"/>
    <col min="87" max="87" width="5.42578125" bestFit="1" customWidth="1"/>
    <col min="88" max="88" width="6.42578125" bestFit="1" customWidth="1"/>
    <col min="89" max="89" width="7.5703125" bestFit="1" customWidth="1"/>
    <col min="90" max="91" width="5.42578125" bestFit="1" customWidth="1"/>
    <col min="92" max="95" width="6.42578125" bestFit="1" customWidth="1"/>
    <col min="96" max="97" width="3.28515625" bestFit="1" customWidth="1"/>
    <col min="98" max="98" width="6.42578125" bestFit="1" customWidth="1"/>
    <col min="99" max="99" width="7.5703125" bestFit="1" customWidth="1"/>
    <col min="100" max="101" width="6.42578125" bestFit="1" customWidth="1"/>
    <col min="102" max="103" width="5.42578125" bestFit="1" customWidth="1"/>
    <col min="104" max="104" width="7.5703125" bestFit="1" customWidth="1"/>
    <col min="105" max="105" width="4.28515625" bestFit="1" customWidth="1"/>
    <col min="106" max="106" width="7.5703125" bestFit="1" customWidth="1"/>
    <col min="107" max="107" width="9.7109375" bestFit="1" customWidth="1"/>
    <col min="108" max="108" width="7.5703125" bestFit="1" customWidth="1"/>
    <col min="109" max="109" width="6.42578125" bestFit="1" customWidth="1"/>
    <col min="110" max="111" width="7.5703125" bestFit="1" customWidth="1"/>
    <col min="112" max="112" width="8.5703125" bestFit="1" customWidth="1"/>
    <col min="113" max="113" width="4.28515625" bestFit="1" customWidth="1"/>
    <col min="114" max="115" width="7.5703125" bestFit="1" customWidth="1"/>
    <col min="116" max="116" width="6.42578125" bestFit="1" customWidth="1"/>
    <col min="117" max="117" width="4.28515625" bestFit="1" customWidth="1"/>
    <col min="118" max="119" width="6.42578125" bestFit="1" customWidth="1"/>
    <col min="120" max="120" width="7.5703125" bestFit="1" customWidth="1"/>
    <col min="121" max="121" width="4.28515625" bestFit="1" customWidth="1"/>
    <col min="122" max="123" width="7.5703125" bestFit="1" customWidth="1"/>
    <col min="124" max="125" width="6.42578125" bestFit="1" customWidth="1"/>
    <col min="126" max="127" width="7.5703125" bestFit="1" customWidth="1"/>
    <col min="128" max="128" width="11.85546875" bestFit="1" customWidth="1"/>
  </cols>
  <sheetData>
    <row r="1" spans="1:12" ht="15.75" thickBot="1" x14ac:dyDescent="0.3">
      <c r="A1" s="44" t="str">
        <f>"Total stock count: " &amp; COUNTA(stocks[Symbol])</f>
        <v>Total stock count: 65</v>
      </c>
      <c r="B1" s="45"/>
      <c r="C1" s="16" t="s">
        <v>122</v>
      </c>
      <c r="D1" s="17">
        <f>$D$2+$H$1</f>
        <v>64660.841999999982</v>
      </c>
      <c r="E1" s="18" t="s">
        <v>8</v>
      </c>
      <c r="F1" s="22">
        <f>SUM(stocks[Open P&amp;L])</f>
        <v>8892.3020000000033</v>
      </c>
      <c r="G1" s="16" t="s">
        <v>17</v>
      </c>
      <c r="H1" s="22">
        <f>SUM(stocks[Realized P&amp;L])</f>
        <v>986.68999999999994</v>
      </c>
      <c r="I1" s="16" t="s">
        <v>106</v>
      </c>
      <c r="J1" s="32">
        <f>$L$1 - SUMIF(trades[Capital or Gain], "&gt;0", trades[Capital or Gain]) + SUM(trades[Realized  P&amp;L])</f>
        <v>54782.636999999988</v>
      </c>
      <c r="K1" s="16" t="s">
        <v>109</v>
      </c>
      <c r="L1" s="17">
        <f>-SUMIF(trades[Capital or Gain], "&lt;0", trades[Capital or Gain])</f>
        <v>60684.911999999989</v>
      </c>
    </row>
    <row r="2" spans="1:12" ht="15.75" thickBot="1" x14ac:dyDescent="0.3">
      <c r="A2" s="44" t="str">
        <f>"Active stock count: " &amp; COUNTIF(stocks[Current Qty], "&lt;&gt;0")</f>
        <v>Active stock count: 62</v>
      </c>
      <c r="B2" s="45"/>
      <c r="C2" s="16" t="s">
        <v>121</v>
      </c>
      <c r="D2" s="17">
        <f>SUMPRODUCT(stocks[Current Qty], stocks[Current Price])</f>
        <v>63674.15199999998</v>
      </c>
      <c r="E2" s="16" t="s">
        <v>13</v>
      </c>
      <c r="F2" s="21">
        <f>$F$1/$J$1</f>
        <v>0.16231971454751265</v>
      </c>
      <c r="G2" s="16" t="s">
        <v>14</v>
      </c>
      <c r="H2" s="21">
        <f>$H$1/$J$2</f>
        <v>0.16717113316475421</v>
      </c>
      <c r="I2" s="16" t="s">
        <v>107</v>
      </c>
      <c r="J2" s="32">
        <f>-SUMIF(trades[Capital or Gain], "&lt;0", trades[Capital or Gain]) - $J$1</f>
        <v>5902.2750000000015</v>
      </c>
      <c r="K2" s="16" t="s">
        <v>108</v>
      </c>
      <c r="L2" s="17">
        <f>-SUM(trades[Capital or Gain])</f>
        <v>53795.946000000011</v>
      </c>
    </row>
    <row r="3" spans="1:12" x14ac:dyDescent="0.25">
      <c r="J3" s="9"/>
      <c r="K3" s="31"/>
    </row>
    <row r="4" spans="1:12" s="7" customFormat="1" x14ac:dyDescent="0.25">
      <c r="A4" t="s">
        <v>2</v>
      </c>
      <c r="B4" t="s">
        <v>29</v>
      </c>
      <c r="C4" t="s">
        <v>7</v>
      </c>
      <c r="D4" t="s">
        <v>5</v>
      </c>
      <c r="E4" t="s">
        <v>108</v>
      </c>
      <c r="F4" t="s">
        <v>8</v>
      </c>
      <c r="G4" t="s">
        <v>17</v>
      </c>
      <c r="H4"/>
    </row>
    <row r="5" spans="1:12" x14ac:dyDescent="0.25">
      <c r="A5" s="48" t="s">
        <v>38</v>
      </c>
      <c r="B5">
        <v>830</v>
      </c>
      <c r="C5">
        <f>RTD("tos.rtd", , "LAST", stocks[[#This Row],[Symbol]])</f>
        <v>3.2050000000000001</v>
      </c>
      <c r="D5">
        <v>2.4</v>
      </c>
      <c r="E5">
        <v>-1991.14</v>
      </c>
      <c r="F5" s="27">
        <f>IFERROR((stocks[[#This Row],[Current Price]]-stocks[[#This Row],[Avg Price]])*stocks[[#This Row],[Current Qty]],"")</f>
        <v>668.15000000000009</v>
      </c>
      <c r="G5" s="14"/>
      <c r="H5" s="14"/>
    </row>
    <row r="6" spans="1:12" x14ac:dyDescent="0.25">
      <c r="A6" s="48" t="s">
        <v>39</v>
      </c>
      <c r="B6">
        <v>5</v>
      </c>
      <c r="C6">
        <f>RTD("tos.rtd", , "LAST", stocks[[#This Row],[Symbol]])</f>
        <v>79.739999999999995</v>
      </c>
      <c r="D6">
        <v>80</v>
      </c>
      <c r="E6">
        <v>-400</v>
      </c>
      <c r="F6" s="23">
        <f>IFERROR((stocks[[#This Row],[Current Price]]-stocks[[#This Row],[Avg Price]])*stocks[[#This Row],[Current Qty]],"")</f>
        <v>-1.3000000000000256</v>
      </c>
      <c r="G6" s="14"/>
      <c r="H6" s="14"/>
    </row>
    <row r="7" spans="1:12" x14ac:dyDescent="0.25">
      <c r="A7" s="48" t="s">
        <v>40</v>
      </c>
      <c r="B7">
        <v>5</v>
      </c>
      <c r="C7">
        <f>RTD("tos.rtd", , "LAST", stocks[[#This Row],[Symbol]])</f>
        <v>190.965</v>
      </c>
      <c r="D7">
        <v>249.13</v>
      </c>
      <c r="E7">
        <v>-1245.6500000000001</v>
      </c>
      <c r="F7" s="23">
        <f>IFERROR((stocks[[#This Row],[Current Price]]-stocks[[#This Row],[Avg Price]])*stocks[[#This Row],[Current Qty]],"")</f>
        <v>-290.82499999999993</v>
      </c>
      <c r="G7" s="14"/>
      <c r="H7" s="14"/>
    </row>
    <row r="8" spans="1:12" x14ac:dyDescent="0.25">
      <c r="A8" s="48" t="s">
        <v>41</v>
      </c>
      <c r="B8">
        <v>50</v>
      </c>
      <c r="C8">
        <f>RTD("tos.rtd", , "LAST", stocks[[#This Row],[Symbol]])</f>
        <v>24.22</v>
      </c>
      <c r="D8">
        <v>10.42</v>
      </c>
      <c r="E8">
        <v>-521</v>
      </c>
      <c r="F8" s="23">
        <f>IFERROR((stocks[[#This Row],[Current Price]]-stocks[[#This Row],[Avg Price]])*stocks[[#This Row],[Current Qty]],"")</f>
        <v>690</v>
      </c>
      <c r="G8" s="14"/>
      <c r="H8" s="14"/>
    </row>
    <row r="9" spans="1:12" x14ac:dyDescent="0.25">
      <c r="A9" s="48" t="s">
        <v>42</v>
      </c>
      <c r="B9">
        <v>375</v>
      </c>
      <c r="C9">
        <f>RTD("tos.rtd", , "LAST", stocks[[#This Row],[Symbol]])</f>
        <v>0.98499999999999999</v>
      </c>
      <c r="D9">
        <v>1.33</v>
      </c>
      <c r="E9">
        <v>-498.75</v>
      </c>
      <c r="F9" s="23">
        <f>IFERROR((stocks[[#This Row],[Current Price]]-stocks[[#This Row],[Avg Price]])*stocks[[#This Row],[Current Qty]],"")</f>
        <v>-129.37500000000003</v>
      </c>
      <c r="G9" s="14"/>
      <c r="H9" s="14"/>
    </row>
    <row r="10" spans="1:12" x14ac:dyDescent="0.25">
      <c r="A10" s="48" t="s">
        <v>43</v>
      </c>
      <c r="B10">
        <v>10</v>
      </c>
      <c r="C10">
        <f>RTD("tos.rtd", , "LAST", stocks[[#This Row],[Symbol]])</f>
        <v>60.215000000000003</v>
      </c>
      <c r="D10">
        <v>38.950000000000003</v>
      </c>
      <c r="E10">
        <v>-389.5</v>
      </c>
      <c r="F10" s="23">
        <f>IFERROR((stocks[[#This Row],[Current Price]]-stocks[[#This Row],[Avg Price]])*stocks[[#This Row],[Current Qty]],"")</f>
        <v>212.65</v>
      </c>
      <c r="G10" s="14"/>
      <c r="H10" s="14"/>
    </row>
    <row r="11" spans="1:12" x14ac:dyDescent="0.25">
      <c r="A11" s="48" t="s">
        <v>44</v>
      </c>
      <c r="B11">
        <v>20</v>
      </c>
      <c r="C11">
        <f>RTD("tos.rtd", , "LAST", stocks[[#This Row],[Symbol]])</f>
        <v>65.53</v>
      </c>
      <c r="D11">
        <v>62</v>
      </c>
      <c r="E11">
        <v>-1239.9000000000001</v>
      </c>
      <c r="F11" s="23">
        <f>IFERROR((stocks[[#This Row],[Current Price]]-stocks[[#This Row],[Avg Price]])*stocks[[#This Row],[Current Qty]],"")</f>
        <v>70.600000000000023</v>
      </c>
      <c r="G11" s="14"/>
      <c r="H11" s="14"/>
    </row>
    <row r="12" spans="1:12" x14ac:dyDescent="0.25">
      <c r="A12" s="48" t="s">
        <v>45</v>
      </c>
      <c r="B12">
        <v>5</v>
      </c>
      <c r="C12">
        <f>RTD("tos.rtd", , "LAST", stocks[[#This Row],[Symbol]])</f>
        <v>205.38</v>
      </c>
      <c r="D12">
        <v>70.62</v>
      </c>
      <c r="E12">
        <v>-353.1</v>
      </c>
      <c r="F12" s="23">
        <f>IFERROR((stocks[[#This Row],[Current Price]]-stocks[[#This Row],[Avg Price]])*stocks[[#This Row],[Current Qty]],"")</f>
        <v>673.8</v>
      </c>
      <c r="G12" s="14"/>
      <c r="H12" s="14"/>
    </row>
    <row r="13" spans="1:12" x14ac:dyDescent="0.25">
      <c r="A13" s="48" t="s">
        <v>46</v>
      </c>
      <c r="B13">
        <v>75</v>
      </c>
      <c r="C13">
        <f>RTD("tos.rtd", , "LAST", stocks[[#This Row],[Symbol]])</f>
        <v>33.340000000000003</v>
      </c>
      <c r="D13">
        <v>16.690000000000001</v>
      </c>
      <c r="E13">
        <v>-1251.75</v>
      </c>
      <c r="F13" s="23">
        <f>IFERROR((stocks[[#This Row],[Current Price]]-stocks[[#This Row],[Avg Price]])*stocks[[#This Row],[Current Qty]],"")</f>
        <v>1248.7500000000002</v>
      </c>
      <c r="G13" s="14"/>
      <c r="H13" s="14"/>
    </row>
    <row r="14" spans="1:12" x14ac:dyDescent="0.25">
      <c r="A14" s="48" t="s">
        <v>47</v>
      </c>
      <c r="B14">
        <v>5</v>
      </c>
      <c r="C14">
        <f>RTD("tos.rtd", , "LAST", stocks[[#This Row],[Symbol]])</f>
        <v>84.76</v>
      </c>
      <c r="D14">
        <v>69.83</v>
      </c>
      <c r="E14">
        <v>-349.15</v>
      </c>
      <c r="F14" s="23">
        <f>IFERROR((stocks[[#This Row],[Current Price]]-stocks[[#This Row],[Avg Price]])*stocks[[#This Row],[Current Qty]],"")</f>
        <v>74.650000000000034</v>
      </c>
      <c r="G14" s="14"/>
      <c r="H14" s="14"/>
    </row>
    <row r="15" spans="1:12" x14ac:dyDescent="0.25">
      <c r="A15" s="48" t="s">
        <v>48</v>
      </c>
      <c r="B15">
        <v>0</v>
      </c>
      <c r="C15">
        <f>RTD("tos.rtd", , "LAST", stocks[[#This Row],[Symbol]])</f>
        <v>8.81</v>
      </c>
      <c r="E15">
        <v>217.62</v>
      </c>
      <c r="F15" s="23">
        <f>IFERROR((stocks[[#This Row],[Current Price]]-stocks[[#This Row],[Avg Price]])*stocks[[#This Row],[Current Qty]],"")</f>
        <v>0</v>
      </c>
      <c r="G15" s="14">
        <v>217.62</v>
      </c>
      <c r="H15" s="14"/>
    </row>
    <row r="16" spans="1:12" x14ac:dyDescent="0.25">
      <c r="A16" s="48" t="s">
        <v>49</v>
      </c>
      <c r="B16">
        <v>25</v>
      </c>
      <c r="C16">
        <f>RTD("tos.rtd", , "LAST", stocks[[#This Row],[Symbol]])</f>
        <v>10.9</v>
      </c>
      <c r="D16">
        <v>19</v>
      </c>
      <c r="E16">
        <v>-475</v>
      </c>
      <c r="F16" s="23">
        <f>IFERROR((stocks[[#This Row],[Current Price]]-stocks[[#This Row],[Avg Price]])*stocks[[#This Row],[Current Qty]],"")</f>
        <v>-202.5</v>
      </c>
      <c r="G16" s="14"/>
      <c r="H16" s="14"/>
    </row>
    <row r="17" spans="1:18" x14ac:dyDescent="0.25">
      <c r="A17" s="48" t="s">
        <v>50</v>
      </c>
      <c r="B17">
        <v>10</v>
      </c>
      <c r="C17">
        <f>RTD("tos.rtd", , "LAST", stocks[[#This Row],[Symbol]])</f>
        <v>103.639</v>
      </c>
      <c r="D17">
        <v>98.75</v>
      </c>
      <c r="E17">
        <v>-987.5</v>
      </c>
      <c r="F17" s="23">
        <f>IFERROR((stocks[[#This Row],[Current Price]]-stocks[[#This Row],[Avg Price]])*stocks[[#This Row],[Current Qty]],"")</f>
        <v>48.889999999999958</v>
      </c>
      <c r="G17" s="14"/>
      <c r="H17" s="14"/>
    </row>
    <row r="18" spans="1:18" x14ac:dyDescent="0.25">
      <c r="A18" s="48" t="s">
        <v>51</v>
      </c>
      <c r="B18">
        <v>15</v>
      </c>
      <c r="C18">
        <f>RTD("tos.rtd", , "LAST", stocks[[#This Row],[Symbol]])</f>
        <v>27.38</v>
      </c>
      <c r="D18">
        <v>33.33</v>
      </c>
      <c r="E18">
        <v>-499.95</v>
      </c>
      <c r="F18" s="23">
        <f>IFERROR((stocks[[#This Row],[Current Price]]-stocks[[#This Row],[Avg Price]])*stocks[[#This Row],[Current Qty]],"")</f>
        <v>-89.249999999999986</v>
      </c>
      <c r="G18" s="14"/>
      <c r="H18" s="14"/>
    </row>
    <row r="19" spans="1:18" x14ac:dyDescent="0.25">
      <c r="A19" s="48" t="s">
        <v>52</v>
      </c>
      <c r="B19">
        <v>5</v>
      </c>
      <c r="C19">
        <f>RTD("tos.rtd", , "LAST", stocks[[#This Row],[Symbol]])</f>
        <v>86.75</v>
      </c>
      <c r="D19">
        <v>74</v>
      </c>
      <c r="E19">
        <v>-370</v>
      </c>
      <c r="F19" s="23">
        <f>IFERROR((stocks[[#This Row],[Current Price]]-stocks[[#This Row],[Avg Price]])*stocks[[#This Row],[Current Qty]],"")</f>
        <v>63.75</v>
      </c>
      <c r="G19" s="14"/>
      <c r="H19" s="14"/>
    </row>
    <row r="20" spans="1:18" x14ac:dyDescent="0.25">
      <c r="A20" s="48" t="s">
        <v>53</v>
      </c>
      <c r="B20">
        <v>5</v>
      </c>
      <c r="C20">
        <f>RTD("tos.rtd", , "LAST", stocks[[#This Row],[Symbol]])</f>
        <v>109.2299</v>
      </c>
      <c r="D20">
        <v>89.69</v>
      </c>
      <c r="E20">
        <v>-448.45</v>
      </c>
      <c r="F20" s="23">
        <f>IFERROR((stocks[[#This Row],[Current Price]]-stocks[[#This Row],[Avg Price]])*stocks[[#This Row],[Current Qty]],"")</f>
        <v>97.699500000000015</v>
      </c>
      <c r="G20" s="14"/>
      <c r="H20" s="14"/>
    </row>
    <row r="21" spans="1:18" x14ac:dyDescent="0.25">
      <c r="A21" s="48" t="s">
        <v>54</v>
      </c>
      <c r="B21">
        <v>5</v>
      </c>
      <c r="C21">
        <f>RTD("tos.rtd", , "LAST", stocks[[#This Row],[Symbol]])</f>
        <v>143.495</v>
      </c>
      <c r="D21">
        <v>100</v>
      </c>
      <c r="E21">
        <v>-500</v>
      </c>
      <c r="F21" s="23">
        <f>IFERROR((stocks[[#This Row],[Current Price]]-stocks[[#This Row],[Avg Price]])*stocks[[#This Row],[Current Qty]],"")</f>
        <v>217.47500000000002</v>
      </c>
      <c r="G21" s="14"/>
      <c r="H21" s="14"/>
    </row>
    <row r="22" spans="1:18" x14ac:dyDescent="0.25">
      <c r="A22" s="48" t="s">
        <v>55</v>
      </c>
      <c r="B22">
        <v>25</v>
      </c>
      <c r="C22">
        <f>RTD("tos.rtd", , "LAST", stocks[[#This Row],[Symbol]])</f>
        <v>60.84</v>
      </c>
      <c r="D22">
        <v>75.8</v>
      </c>
      <c r="E22">
        <v>-1895.1</v>
      </c>
      <c r="F22" s="23">
        <f>IFERROR((stocks[[#This Row],[Current Price]]-stocks[[#This Row],[Avg Price]])*stocks[[#This Row],[Current Qty]],"")</f>
        <v>-373.99999999999983</v>
      </c>
      <c r="G22" s="14"/>
      <c r="H22" s="14"/>
      <c r="I22" s="46" t="s">
        <v>33</v>
      </c>
      <c r="J22" s="46"/>
      <c r="K22" s="46"/>
      <c r="L22" s="46"/>
      <c r="M22" s="46"/>
      <c r="N22" s="46"/>
      <c r="O22" s="46"/>
      <c r="P22" s="46"/>
      <c r="Q22" s="46"/>
      <c r="R22" s="29"/>
    </row>
    <row r="23" spans="1:18" x14ac:dyDescent="0.25">
      <c r="A23" s="48" t="s">
        <v>56</v>
      </c>
      <c r="B23">
        <v>45</v>
      </c>
      <c r="C23">
        <f>RTD("tos.rtd", , "LAST", stocks[[#This Row],[Symbol]])</f>
        <v>22.05</v>
      </c>
      <c r="D23">
        <v>10.84</v>
      </c>
      <c r="E23">
        <v>-487.8</v>
      </c>
      <c r="F23" s="23">
        <f>IFERROR((stocks[[#This Row],[Current Price]]-stocks[[#This Row],[Avg Price]])*stocks[[#This Row],[Current Qty]],"")</f>
        <v>504.45000000000005</v>
      </c>
      <c r="G23" s="14"/>
      <c r="H23" s="14"/>
      <c r="I23" s="46"/>
      <c r="J23" s="46"/>
      <c r="K23" s="46"/>
      <c r="L23" s="46"/>
      <c r="M23" s="46"/>
      <c r="N23" s="46"/>
      <c r="O23" s="46"/>
      <c r="P23" s="46"/>
      <c r="Q23" s="46"/>
      <c r="R23" s="29"/>
    </row>
    <row r="24" spans="1:18" x14ac:dyDescent="0.25">
      <c r="A24" s="48" t="s">
        <v>57</v>
      </c>
      <c r="B24">
        <v>50</v>
      </c>
      <c r="C24">
        <f>RTD("tos.rtd", , "LAST", stocks[[#This Row],[Symbol]])</f>
        <v>8.73</v>
      </c>
      <c r="D24">
        <v>10.050000000000001</v>
      </c>
      <c r="E24">
        <v>-502.5</v>
      </c>
      <c r="F24" s="23">
        <f>IFERROR((stocks[[#This Row],[Current Price]]-stocks[[#This Row],[Avg Price]])*stocks[[#This Row],[Current Qty]],"")</f>
        <v>-66.000000000000014</v>
      </c>
      <c r="G24" s="14"/>
      <c r="H24" s="14"/>
      <c r="I24" s="46"/>
      <c r="J24" s="46"/>
      <c r="K24" s="46"/>
      <c r="L24" s="46"/>
      <c r="M24" s="46"/>
      <c r="N24" s="46"/>
      <c r="O24" s="46"/>
      <c r="P24" s="46"/>
      <c r="Q24" s="46"/>
      <c r="R24" s="29"/>
    </row>
    <row r="25" spans="1:18" x14ac:dyDescent="0.25">
      <c r="A25" s="48" t="s">
        <v>58</v>
      </c>
      <c r="B25">
        <v>10</v>
      </c>
      <c r="C25">
        <f>RTD("tos.rtd", , "LAST", stocks[[#This Row],[Symbol]])</f>
        <v>66.510000000000005</v>
      </c>
      <c r="D25">
        <v>88.13</v>
      </c>
      <c r="E25">
        <v>-881.3</v>
      </c>
      <c r="F25" s="23">
        <f>IFERROR((stocks[[#This Row],[Current Price]]-stocks[[#This Row],[Avg Price]])*stocks[[#This Row],[Current Qty]],"")</f>
        <v>-216.1999999999999</v>
      </c>
      <c r="G25" s="14"/>
      <c r="H25" s="14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s="48" t="s">
        <v>59</v>
      </c>
      <c r="B26">
        <v>10</v>
      </c>
      <c r="C26">
        <f>RTD("tos.rtd", , "LAST", stocks[[#This Row],[Symbol]])</f>
        <v>55.24</v>
      </c>
      <c r="D26">
        <v>44.5</v>
      </c>
      <c r="E26">
        <v>-445</v>
      </c>
      <c r="F26" s="23">
        <f>IFERROR((stocks[[#This Row],[Current Price]]-stocks[[#This Row],[Avg Price]])*stocks[[#This Row],[Current Qty]],"")</f>
        <v>107.40000000000002</v>
      </c>
      <c r="G26" s="14"/>
      <c r="H26" s="14"/>
    </row>
    <row r="27" spans="1:18" x14ac:dyDescent="0.25">
      <c r="A27" s="48" t="s">
        <v>60</v>
      </c>
      <c r="B27">
        <v>60</v>
      </c>
      <c r="C27">
        <f>RTD("tos.rtd", , "LAST", stocks[[#This Row],[Symbol]])</f>
        <v>5.6950000000000003</v>
      </c>
      <c r="D27">
        <v>8.36</v>
      </c>
      <c r="E27">
        <v>-501.6</v>
      </c>
      <c r="F27" s="23">
        <f>IFERROR((stocks[[#This Row],[Current Price]]-stocks[[#This Row],[Avg Price]])*stocks[[#This Row],[Current Qty]],"")</f>
        <v>-159.89999999999995</v>
      </c>
      <c r="G27" s="14"/>
      <c r="H27" s="14"/>
    </row>
    <row r="28" spans="1:18" x14ac:dyDescent="0.25">
      <c r="A28" s="48" t="s">
        <v>61</v>
      </c>
      <c r="B28">
        <v>10</v>
      </c>
      <c r="C28">
        <f>RTD("tos.rtd", , "LAST", stocks[[#This Row],[Symbol]])</f>
        <v>37.71</v>
      </c>
      <c r="D28">
        <v>41.15</v>
      </c>
      <c r="E28">
        <v>-411.5</v>
      </c>
      <c r="F28" s="23">
        <f>IFERROR((stocks[[#This Row],[Current Price]]-stocks[[#This Row],[Avg Price]])*stocks[[#This Row],[Current Qty]],"")</f>
        <v>-34.399999999999977</v>
      </c>
      <c r="G28" s="14"/>
      <c r="H28" s="14"/>
    </row>
    <row r="29" spans="1:18" x14ac:dyDescent="0.25">
      <c r="A29" s="48" t="s">
        <v>62</v>
      </c>
      <c r="B29">
        <v>20</v>
      </c>
      <c r="C29">
        <f>RTD("tos.rtd", , "LAST", stocks[[#This Row],[Symbol]])</f>
        <v>70.650000000000006</v>
      </c>
      <c r="D29">
        <v>94.54</v>
      </c>
      <c r="E29">
        <v>-1890.75</v>
      </c>
      <c r="F29" s="23">
        <f>IFERROR((stocks[[#This Row],[Current Price]]-stocks[[#This Row],[Avg Price]])*stocks[[#This Row],[Current Qty]],"")</f>
        <v>-477.8</v>
      </c>
      <c r="G29" s="14"/>
      <c r="H29" s="14"/>
    </row>
    <row r="30" spans="1:18" x14ac:dyDescent="0.25">
      <c r="A30" s="48" t="s">
        <v>63</v>
      </c>
      <c r="B30">
        <v>90</v>
      </c>
      <c r="C30">
        <f>RTD("tos.rtd", , "LAST", stocks[[#This Row],[Symbol]])</f>
        <v>30.83</v>
      </c>
      <c r="D30">
        <v>26.4</v>
      </c>
      <c r="E30">
        <v>-2376.4</v>
      </c>
      <c r="F30" s="23">
        <f>IFERROR((stocks[[#This Row],[Current Price]]-stocks[[#This Row],[Avg Price]])*stocks[[#This Row],[Current Qty]],"")</f>
        <v>398.7</v>
      </c>
      <c r="G30" s="14"/>
      <c r="H30" s="14"/>
    </row>
    <row r="31" spans="1:18" x14ac:dyDescent="0.25">
      <c r="A31" s="48" t="s">
        <v>64</v>
      </c>
      <c r="B31">
        <v>45</v>
      </c>
      <c r="C31">
        <f>RTD("tos.rtd", , "LAST", stocks[[#This Row],[Symbol]])</f>
        <v>29.265000000000001</v>
      </c>
      <c r="D31">
        <v>22.23</v>
      </c>
      <c r="E31">
        <v>-1000.3</v>
      </c>
      <c r="F31" s="23">
        <f>IFERROR((stocks[[#This Row],[Current Price]]-stocks[[#This Row],[Avg Price]])*stocks[[#This Row],[Current Qty]],"")</f>
        <v>316.57499999999999</v>
      </c>
      <c r="G31" s="14"/>
      <c r="H31" s="14"/>
    </row>
    <row r="32" spans="1:18" x14ac:dyDescent="0.25">
      <c r="A32" s="48" t="s">
        <v>65</v>
      </c>
      <c r="B32">
        <v>45</v>
      </c>
      <c r="C32">
        <f>RTD("tos.rtd", , "LAST", stocks[[#This Row],[Symbol]])</f>
        <v>39.405000000000001</v>
      </c>
      <c r="D32">
        <v>22</v>
      </c>
      <c r="E32">
        <v>-990.2</v>
      </c>
      <c r="F32" s="23">
        <f>IFERROR((stocks[[#This Row],[Current Price]]-stocks[[#This Row],[Avg Price]])*stocks[[#This Row],[Current Qty]],"")</f>
        <v>783.22500000000002</v>
      </c>
      <c r="G32" s="14"/>
      <c r="H32" s="14"/>
    </row>
    <row r="33" spans="1:17" x14ac:dyDescent="0.25">
      <c r="A33" s="48" t="s">
        <v>66</v>
      </c>
      <c r="B33">
        <v>575</v>
      </c>
      <c r="C33">
        <f>RTD("tos.rtd", , "LAST", stocks[[#This Row],[Symbol]])</f>
        <v>7.1950000000000003</v>
      </c>
      <c r="D33">
        <v>5.14</v>
      </c>
      <c r="E33">
        <v>-2954.73</v>
      </c>
      <c r="F33" s="23">
        <f>IFERROR((stocks[[#This Row],[Current Price]]-stocks[[#This Row],[Avg Price]])*stocks[[#This Row],[Current Qty]],"")</f>
        <v>1181.6250000000005</v>
      </c>
      <c r="G33" s="14"/>
      <c r="H33" s="14"/>
    </row>
    <row r="34" spans="1:17" x14ac:dyDescent="0.25">
      <c r="A34" s="48" t="s">
        <v>67</v>
      </c>
      <c r="B34">
        <v>75</v>
      </c>
      <c r="C34">
        <f>RTD("tos.rtd", , "LAST", stocks[[#This Row],[Symbol]])</f>
        <v>30.71</v>
      </c>
      <c r="D34">
        <v>19.809999999999999</v>
      </c>
      <c r="E34">
        <v>-1486</v>
      </c>
      <c r="F34" s="23">
        <f>IFERROR((stocks[[#This Row],[Current Price]]-stocks[[#This Row],[Avg Price]])*stocks[[#This Row],[Current Qty]],"")</f>
        <v>817.50000000000011</v>
      </c>
      <c r="G34" s="14"/>
      <c r="H34" s="14"/>
    </row>
    <row r="35" spans="1:17" x14ac:dyDescent="0.25">
      <c r="A35" s="48" t="s">
        <v>68</v>
      </c>
      <c r="B35">
        <v>10</v>
      </c>
      <c r="C35">
        <f>RTD("tos.rtd", , "LAST", stocks[[#This Row],[Symbol]])</f>
        <v>44.78</v>
      </c>
      <c r="D35">
        <v>46</v>
      </c>
      <c r="E35">
        <v>-460</v>
      </c>
      <c r="F35" s="23">
        <f>IFERROR((stocks[[#This Row],[Current Price]]-stocks[[#This Row],[Avg Price]])*stocks[[#This Row],[Current Qty]],"")</f>
        <v>-12.199999999999989</v>
      </c>
      <c r="G35" s="14"/>
      <c r="H35" s="14"/>
    </row>
    <row r="36" spans="1:17" x14ac:dyDescent="0.25">
      <c r="A36" s="48" t="s">
        <v>69</v>
      </c>
      <c r="B36">
        <v>5</v>
      </c>
      <c r="C36">
        <f>RTD("tos.rtd", , "LAST", stocks[[#This Row],[Symbol]])</f>
        <v>110.82</v>
      </c>
      <c r="D36">
        <v>92</v>
      </c>
      <c r="E36">
        <v>-460</v>
      </c>
      <c r="F36" s="23">
        <f>IFERROR((stocks[[#This Row],[Current Price]]-stocks[[#This Row],[Avg Price]])*stocks[[#This Row],[Current Qty]],"")</f>
        <v>94.099999999999966</v>
      </c>
      <c r="G36" s="14"/>
      <c r="H36" s="14"/>
    </row>
    <row r="37" spans="1:17" x14ac:dyDescent="0.25">
      <c r="A37" s="48" t="s">
        <v>70</v>
      </c>
      <c r="B37">
        <v>135</v>
      </c>
      <c r="C37">
        <f>RTD("tos.rtd", , "LAST", stocks[[#This Row],[Symbol]])</f>
        <v>2.9449999999999998</v>
      </c>
      <c r="D37">
        <v>3.47</v>
      </c>
      <c r="E37">
        <v>-468.45</v>
      </c>
      <c r="F37" s="23">
        <f>IFERROR((stocks[[#This Row],[Current Price]]-stocks[[#This Row],[Avg Price]])*stocks[[#This Row],[Current Qty]],"")</f>
        <v>-70.875000000000043</v>
      </c>
      <c r="G37" s="14"/>
      <c r="H37" s="14"/>
    </row>
    <row r="38" spans="1:17" x14ac:dyDescent="0.25">
      <c r="A38" s="48" t="s">
        <v>71</v>
      </c>
      <c r="B38">
        <v>30</v>
      </c>
      <c r="C38">
        <f>RTD("tos.rtd", , "LAST", stocks[[#This Row],[Symbol]])</f>
        <v>17.175000000000001</v>
      </c>
      <c r="D38">
        <v>16</v>
      </c>
      <c r="E38">
        <v>-480</v>
      </c>
      <c r="F38" s="23">
        <f>IFERROR((stocks[[#This Row],[Current Price]]-stocks[[#This Row],[Avg Price]])*stocks[[#This Row],[Current Qty]],"")</f>
        <v>35.250000000000021</v>
      </c>
      <c r="G38" s="14"/>
      <c r="H38" s="14"/>
    </row>
    <row r="39" spans="1:17" x14ac:dyDescent="0.25">
      <c r="A39" s="48" t="s">
        <v>72</v>
      </c>
      <c r="B39">
        <v>65</v>
      </c>
      <c r="C39">
        <f>RTD("tos.rtd", , "LAST", stocks[[#This Row],[Symbol]])</f>
        <v>6.6150000000000002</v>
      </c>
      <c r="D39">
        <v>7.18</v>
      </c>
      <c r="E39">
        <v>-466.7</v>
      </c>
      <c r="F39" s="23">
        <f>IFERROR((stocks[[#This Row],[Current Price]]-stocks[[#This Row],[Avg Price]])*stocks[[#This Row],[Current Qty]],"")</f>
        <v>-36.724999999999966</v>
      </c>
      <c r="G39" s="14"/>
      <c r="H39" s="14"/>
    </row>
    <row r="40" spans="1:17" x14ac:dyDescent="0.25">
      <c r="A40" s="48" t="s">
        <v>123</v>
      </c>
      <c r="B40">
        <v>0</v>
      </c>
      <c r="C40">
        <f>RTD("tos.rtd", , "LAST", stocks[[#This Row],[Symbol]])</f>
        <v>397.21</v>
      </c>
      <c r="E40">
        <v>1002</v>
      </c>
      <c r="F40" s="23">
        <f>IFERROR((stocks[[#This Row],[Current Price]]-stocks[[#This Row],[Avg Price]])*stocks[[#This Row],[Current Qty]],"")</f>
        <v>0</v>
      </c>
      <c r="G40" s="14">
        <v>1002</v>
      </c>
      <c r="H40" s="14"/>
    </row>
    <row r="41" spans="1:17" x14ac:dyDescent="0.25">
      <c r="A41" s="48" t="s">
        <v>73</v>
      </c>
      <c r="B41">
        <v>25</v>
      </c>
      <c r="C41">
        <f>RTD("tos.rtd", , "LAST", stocks[[#This Row],[Symbol]])</f>
        <v>39.424999999999997</v>
      </c>
      <c r="D41">
        <v>35.4</v>
      </c>
      <c r="E41">
        <v>-885</v>
      </c>
      <c r="F41" s="23">
        <f>IFERROR((stocks[[#This Row],[Current Price]]-stocks[[#This Row],[Avg Price]])*stocks[[#This Row],[Current Qty]],"")</f>
        <v>100.62499999999997</v>
      </c>
      <c r="G41" s="14"/>
      <c r="H41" s="14"/>
    </row>
    <row r="42" spans="1:17" x14ac:dyDescent="0.25">
      <c r="A42" s="48" t="s">
        <v>74</v>
      </c>
      <c r="B42">
        <v>5</v>
      </c>
      <c r="C42">
        <f>RTD("tos.rtd", , "LAST", stocks[[#This Row],[Symbol]])</f>
        <v>119.75</v>
      </c>
      <c r="D42">
        <v>78.34</v>
      </c>
      <c r="E42">
        <v>-391.7</v>
      </c>
      <c r="F42" s="23">
        <f>IFERROR((stocks[[#This Row],[Current Price]]-stocks[[#This Row],[Avg Price]])*stocks[[#This Row],[Current Qty]],"")</f>
        <v>207.04999999999998</v>
      </c>
      <c r="G42" s="14"/>
      <c r="H42" s="14"/>
    </row>
    <row r="43" spans="1:17" x14ac:dyDescent="0.25">
      <c r="A43" s="48" t="s">
        <v>75</v>
      </c>
      <c r="B43">
        <v>20</v>
      </c>
      <c r="C43">
        <f>RTD("tos.rtd", , "LAST", stocks[[#This Row],[Symbol]])</f>
        <v>70.38</v>
      </c>
      <c r="D43">
        <v>42</v>
      </c>
      <c r="E43">
        <v>-840</v>
      </c>
      <c r="F43" s="23">
        <f>IFERROR((stocks[[#This Row],[Current Price]]-stocks[[#This Row],[Avg Price]])*stocks[[#This Row],[Current Qty]],"")</f>
        <v>567.59999999999991</v>
      </c>
      <c r="G43" s="14"/>
      <c r="H43" s="14"/>
    </row>
    <row r="44" spans="1:17" x14ac:dyDescent="0.25">
      <c r="A44" s="48" t="s">
        <v>76</v>
      </c>
      <c r="B44">
        <v>25</v>
      </c>
      <c r="C44">
        <f>RTD("tos.rtd", , "LAST", stocks[[#This Row],[Symbol]])</f>
        <v>49.09</v>
      </c>
      <c r="D44">
        <v>34.65</v>
      </c>
      <c r="E44">
        <v>-866.15</v>
      </c>
      <c r="F44" s="23">
        <f>IFERROR((stocks[[#This Row],[Current Price]]-stocks[[#This Row],[Avg Price]])*stocks[[#This Row],[Current Qty]],"")</f>
        <v>361.00000000000011</v>
      </c>
      <c r="G44" s="14"/>
      <c r="H44" s="14"/>
      <c r="I44" s="46" t="s">
        <v>36</v>
      </c>
      <c r="J44" s="47"/>
      <c r="K44" s="47"/>
      <c r="L44" s="47"/>
      <c r="M44" s="47"/>
      <c r="N44" s="47"/>
      <c r="O44" s="47"/>
      <c r="P44" s="47"/>
      <c r="Q44" s="47"/>
    </row>
    <row r="45" spans="1:17" x14ac:dyDescent="0.25">
      <c r="A45" s="48" t="s">
        <v>77</v>
      </c>
      <c r="B45">
        <v>15</v>
      </c>
      <c r="C45">
        <f>RTD("tos.rtd", , "LAST", stocks[[#This Row],[Symbol]])</f>
        <v>106.88</v>
      </c>
      <c r="D45">
        <v>115.33</v>
      </c>
      <c r="E45">
        <v>-1729.95</v>
      </c>
      <c r="F45" s="23">
        <f>IFERROR((stocks[[#This Row],[Current Price]]-stocks[[#This Row],[Avg Price]])*stocks[[#This Row],[Current Qty]],"")</f>
        <v>-126.75000000000004</v>
      </c>
      <c r="G45" s="14"/>
      <c r="H45" s="14"/>
      <c r="I45" s="47"/>
      <c r="J45" s="47"/>
      <c r="K45" s="47"/>
      <c r="L45" s="47"/>
      <c r="M45" s="47"/>
      <c r="N45" s="47"/>
      <c r="O45" s="47"/>
      <c r="P45" s="47"/>
      <c r="Q45" s="47"/>
    </row>
    <row r="46" spans="1:17" x14ac:dyDescent="0.25">
      <c r="A46" s="48" t="s">
        <v>78</v>
      </c>
      <c r="B46">
        <v>10</v>
      </c>
      <c r="C46">
        <f>RTD("tos.rtd", , "LAST", stocks[[#This Row],[Symbol]])</f>
        <v>86.82</v>
      </c>
      <c r="D46">
        <v>57.74</v>
      </c>
      <c r="E46">
        <v>-577.4</v>
      </c>
      <c r="F46" s="23">
        <f>IFERROR((stocks[[#This Row],[Current Price]]-stocks[[#This Row],[Avg Price]])*stocks[[#This Row],[Current Qty]],"")</f>
        <v>290.7999999999999</v>
      </c>
      <c r="G46" s="14"/>
      <c r="H46" s="14"/>
    </row>
    <row r="47" spans="1:17" x14ac:dyDescent="0.25">
      <c r="A47" s="48" t="s">
        <v>79</v>
      </c>
      <c r="B47">
        <v>10</v>
      </c>
      <c r="C47">
        <f>RTD("tos.rtd", , "LAST", stocks[[#This Row],[Symbol]])</f>
        <v>133.88999999999999</v>
      </c>
      <c r="D47">
        <v>115.28</v>
      </c>
      <c r="E47">
        <v>-1152.8</v>
      </c>
      <c r="F47" s="23">
        <f>IFERROR((stocks[[#This Row],[Current Price]]-stocks[[#This Row],[Avg Price]])*stocks[[#This Row],[Current Qty]],"")</f>
        <v>186.09999999999985</v>
      </c>
      <c r="G47" s="14"/>
      <c r="H47" s="14"/>
    </row>
    <row r="48" spans="1:17" x14ac:dyDescent="0.25">
      <c r="A48" s="48" t="s">
        <v>80</v>
      </c>
      <c r="B48">
        <v>10</v>
      </c>
      <c r="C48">
        <f>RTD("tos.rtd", , "LAST", stocks[[#This Row],[Symbol]])</f>
        <v>45.295000000000002</v>
      </c>
      <c r="D48">
        <v>42.14</v>
      </c>
      <c r="E48">
        <v>-421.4</v>
      </c>
      <c r="F48" s="23">
        <f>IFERROR((stocks[[#This Row],[Current Price]]-stocks[[#This Row],[Avg Price]])*stocks[[#This Row],[Current Qty]],"")</f>
        <v>31.550000000000011</v>
      </c>
      <c r="G48" s="14"/>
      <c r="H48" s="14"/>
    </row>
    <row r="49" spans="1:8" x14ac:dyDescent="0.25">
      <c r="A49" s="48" t="s">
        <v>81</v>
      </c>
      <c r="B49">
        <v>140</v>
      </c>
      <c r="C49">
        <f>RTD("tos.rtd", , "LAST", stocks[[#This Row],[Symbol]])</f>
        <v>8.0649999999999995</v>
      </c>
      <c r="D49">
        <v>10.45</v>
      </c>
      <c r="E49">
        <v>-1462.88</v>
      </c>
      <c r="F49" s="23">
        <f>IFERROR((stocks[[#This Row],[Current Price]]-stocks[[#This Row],[Avg Price]])*stocks[[#This Row],[Current Qty]],"")</f>
        <v>-333.9</v>
      </c>
      <c r="G49" s="14"/>
      <c r="H49" s="14"/>
    </row>
    <row r="50" spans="1:8" x14ac:dyDescent="0.25">
      <c r="A50" s="48" t="s">
        <v>82</v>
      </c>
      <c r="B50">
        <v>75</v>
      </c>
      <c r="C50">
        <f>RTD("tos.rtd", , "LAST", stocks[[#This Row],[Symbol]])</f>
        <v>19.43</v>
      </c>
      <c r="D50">
        <v>19</v>
      </c>
      <c r="E50">
        <v>-1425</v>
      </c>
      <c r="F50" s="23">
        <f>IFERROR((stocks[[#This Row],[Current Price]]-stocks[[#This Row],[Avg Price]])*stocks[[#This Row],[Current Qty]],"")</f>
        <v>32.249999999999979</v>
      </c>
      <c r="G50" s="14"/>
      <c r="H50" s="14"/>
    </row>
    <row r="51" spans="1:8" x14ac:dyDescent="0.25">
      <c r="A51" s="48" t="s">
        <v>83</v>
      </c>
      <c r="B51">
        <v>20</v>
      </c>
      <c r="C51">
        <f>RTD("tos.rtd", , "LAST", stocks[[#This Row],[Symbol]])</f>
        <v>24.385000000000002</v>
      </c>
      <c r="D51">
        <v>22.52</v>
      </c>
      <c r="E51">
        <v>-450.4</v>
      </c>
      <c r="F51" s="23">
        <f>IFERROR((stocks[[#This Row],[Current Price]]-stocks[[#This Row],[Avg Price]])*stocks[[#This Row],[Current Qty]],"")</f>
        <v>37.30000000000004</v>
      </c>
      <c r="G51" s="14"/>
      <c r="H51" s="14"/>
    </row>
    <row r="52" spans="1:8" x14ac:dyDescent="0.25">
      <c r="A52" s="48" t="s">
        <v>84</v>
      </c>
      <c r="B52">
        <v>30</v>
      </c>
      <c r="C52">
        <f>RTD("tos.rtd", , "LAST", stocks[[#This Row],[Symbol]])</f>
        <v>12.95</v>
      </c>
      <c r="D52">
        <v>11.8</v>
      </c>
      <c r="E52">
        <v>-354</v>
      </c>
      <c r="F52" s="23">
        <f>IFERROR((stocks[[#This Row],[Current Price]]-stocks[[#This Row],[Avg Price]])*stocks[[#This Row],[Current Qty]],"")</f>
        <v>34.499999999999957</v>
      </c>
      <c r="G52" s="14"/>
      <c r="H52" s="14"/>
    </row>
    <row r="53" spans="1:8" x14ac:dyDescent="0.25">
      <c r="A53" s="48" t="s">
        <v>85</v>
      </c>
      <c r="B53">
        <v>30</v>
      </c>
      <c r="C53">
        <f>RTD("tos.rtd", , "LAST", stocks[[#This Row],[Symbol]])</f>
        <v>6.585</v>
      </c>
      <c r="D53">
        <v>17</v>
      </c>
      <c r="E53">
        <v>-510</v>
      </c>
      <c r="F53" s="23">
        <f>IFERROR((stocks[[#This Row],[Current Price]]-stocks[[#This Row],[Avg Price]])*stocks[[#This Row],[Current Qty]],"")</f>
        <v>-312.45</v>
      </c>
      <c r="G53" s="14"/>
      <c r="H53" s="14"/>
    </row>
    <row r="54" spans="1:8" x14ac:dyDescent="0.25">
      <c r="A54" s="48" t="s">
        <v>86</v>
      </c>
      <c r="B54">
        <v>10</v>
      </c>
      <c r="C54">
        <f>RTD("tos.rtd", , "LAST", stocks[[#This Row],[Symbol]])</f>
        <v>80.52</v>
      </c>
      <c r="D54">
        <v>35.5</v>
      </c>
      <c r="E54">
        <v>-355</v>
      </c>
      <c r="F54" s="23">
        <f>IFERROR((stocks[[#This Row],[Current Price]]-stocks[[#This Row],[Avg Price]])*stocks[[#This Row],[Current Qty]],"")</f>
        <v>450.19999999999993</v>
      </c>
      <c r="G54" s="14"/>
      <c r="H54" s="14"/>
    </row>
    <row r="55" spans="1:8" x14ac:dyDescent="0.25">
      <c r="A55" s="48" t="s">
        <v>87</v>
      </c>
      <c r="B55">
        <v>10</v>
      </c>
      <c r="C55">
        <f>RTD("tos.rtd", , "LAST", stocks[[#This Row],[Symbol]])</f>
        <v>72.709999999999994</v>
      </c>
      <c r="D55">
        <v>39.99</v>
      </c>
      <c r="E55">
        <v>-399.9</v>
      </c>
      <c r="F55" s="23">
        <f>IFERROR((stocks[[#This Row],[Current Price]]-stocks[[#This Row],[Avg Price]])*stocks[[#This Row],[Current Qty]],"")</f>
        <v>327.19999999999993</v>
      </c>
      <c r="G55" s="14"/>
      <c r="H55" s="14"/>
    </row>
    <row r="56" spans="1:8" x14ac:dyDescent="0.25">
      <c r="A56" s="48" t="s">
        <v>88</v>
      </c>
      <c r="B56">
        <v>20</v>
      </c>
      <c r="C56">
        <f>RTD("tos.rtd", , "LAST", stocks[[#This Row],[Symbol]])</f>
        <v>55.77</v>
      </c>
      <c r="D56">
        <v>38.46</v>
      </c>
      <c r="E56">
        <v>-769.3</v>
      </c>
      <c r="F56" s="23">
        <f>IFERROR((stocks[[#This Row],[Current Price]]-stocks[[#This Row],[Avg Price]])*stocks[[#This Row],[Current Qty]],"")</f>
        <v>346.20000000000005</v>
      </c>
      <c r="G56" s="14"/>
      <c r="H56" s="14"/>
    </row>
    <row r="57" spans="1:8" x14ac:dyDescent="0.25">
      <c r="A57" s="48" t="s">
        <v>89</v>
      </c>
      <c r="B57">
        <v>175</v>
      </c>
      <c r="C57">
        <f>RTD("tos.rtd", , "LAST", stocks[[#This Row],[Symbol]])</f>
        <v>20.984999999999999</v>
      </c>
      <c r="D57">
        <v>17.36</v>
      </c>
      <c r="E57">
        <v>-3037.2</v>
      </c>
      <c r="F57" s="23">
        <f>IFERROR((stocks[[#This Row],[Current Price]]-stocks[[#This Row],[Avg Price]])*stocks[[#This Row],[Current Qty]],"")</f>
        <v>634.375</v>
      </c>
      <c r="G57" s="14"/>
      <c r="H57" s="14"/>
    </row>
    <row r="58" spans="1:8" x14ac:dyDescent="0.25">
      <c r="A58" s="48" t="s">
        <v>90</v>
      </c>
      <c r="B58">
        <v>5</v>
      </c>
      <c r="C58">
        <f>RTD("tos.rtd", , "LAST", stocks[[#This Row],[Symbol]])</f>
        <v>115.355</v>
      </c>
      <c r="D58">
        <v>95.03</v>
      </c>
      <c r="E58">
        <v>-475.15</v>
      </c>
      <c r="F58" s="23">
        <f>IFERROR((stocks[[#This Row],[Current Price]]-stocks[[#This Row],[Avg Price]])*stocks[[#This Row],[Current Qty]],"")</f>
        <v>101.62500000000001</v>
      </c>
      <c r="G58" s="14"/>
      <c r="H58" s="14"/>
    </row>
    <row r="59" spans="1:8" x14ac:dyDescent="0.25">
      <c r="A59" s="48" t="s">
        <v>91</v>
      </c>
      <c r="B59">
        <v>15</v>
      </c>
      <c r="C59">
        <f>RTD("tos.rtd", , "LAST", stocks[[#This Row],[Symbol]])</f>
        <v>64.6875</v>
      </c>
      <c r="D59">
        <v>65.209999999999994</v>
      </c>
      <c r="E59">
        <v>-978.1</v>
      </c>
      <c r="F59" s="23">
        <f>IFERROR((stocks[[#This Row],[Current Price]]-stocks[[#This Row],[Avg Price]])*stocks[[#This Row],[Current Qty]],"")</f>
        <v>-7.8374999999999062</v>
      </c>
      <c r="G59" s="14"/>
      <c r="H59" s="14"/>
    </row>
    <row r="60" spans="1:8" x14ac:dyDescent="0.25">
      <c r="A60" s="48" t="s">
        <v>92</v>
      </c>
      <c r="B60">
        <v>70</v>
      </c>
      <c r="C60">
        <f>RTD("tos.rtd", , "LAST", stocks[[#This Row],[Symbol]])</f>
        <v>5.48</v>
      </c>
      <c r="D60">
        <v>6.85</v>
      </c>
      <c r="E60">
        <v>-479.5</v>
      </c>
      <c r="F60" s="23">
        <f>IFERROR((stocks[[#This Row],[Current Price]]-stocks[[#This Row],[Avg Price]])*stocks[[#This Row],[Current Qty]],"")</f>
        <v>-95.899999999999949</v>
      </c>
      <c r="G60" s="14"/>
      <c r="H60" s="14"/>
    </row>
    <row r="61" spans="1:8" x14ac:dyDescent="0.25">
      <c r="A61" s="48" t="s">
        <v>93</v>
      </c>
      <c r="B61">
        <v>5</v>
      </c>
      <c r="C61">
        <f>RTD("tos.rtd", , "LAST", stocks[[#This Row],[Symbol]])</f>
        <v>77.19</v>
      </c>
      <c r="D61">
        <v>59</v>
      </c>
      <c r="E61">
        <v>-295</v>
      </c>
      <c r="F61" s="23">
        <f>IFERROR((stocks[[#This Row],[Current Price]]-stocks[[#This Row],[Avg Price]])*stocks[[#This Row],[Current Qty]],"")</f>
        <v>90.949999999999989</v>
      </c>
      <c r="G61" s="14"/>
      <c r="H61" s="14"/>
    </row>
    <row r="62" spans="1:8" x14ac:dyDescent="0.25">
      <c r="A62" s="48" t="s">
        <v>94</v>
      </c>
      <c r="B62">
        <v>15</v>
      </c>
      <c r="C62">
        <f>RTD("tos.rtd", , "LAST", stocks[[#This Row],[Symbol]])</f>
        <v>29.934999999999999</v>
      </c>
      <c r="D62">
        <v>32.880000000000003</v>
      </c>
      <c r="E62">
        <v>-565.79999999999995</v>
      </c>
      <c r="F62" s="23">
        <f>IFERROR((stocks[[#This Row],[Current Price]]-stocks[[#This Row],[Avg Price]])*stocks[[#This Row],[Current Qty]],"")</f>
        <v>-44.175000000000054</v>
      </c>
      <c r="G62" s="14">
        <v>-72.53</v>
      </c>
      <c r="H62" s="14"/>
    </row>
    <row r="63" spans="1:8" x14ac:dyDescent="0.25">
      <c r="A63" s="48" t="s">
        <v>95</v>
      </c>
      <c r="B63">
        <v>95</v>
      </c>
      <c r="C63">
        <f>RTD("tos.rtd", , "LAST", stocks[[#This Row],[Symbol]])</f>
        <v>17.78</v>
      </c>
      <c r="D63">
        <v>14.77</v>
      </c>
      <c r="E63">
        <v>-1402.7</v>
      </c>
      <c r="F63" s="23">
        <f>IFERROR((stocks[[#This Row],[Current Price]]-stocks[[#This Row],[Avg Price]])*stocks[[#This Row],[Current Qty]],"")</f>
        <v>285.95000000000016</v>
      </c>
      <c r="G63" s="14"/>
      <c r="H63" s="14"/>
    </row>
    <row r="64" spans="1:8" x14ac:dyDescent="0.25">
      <c r="A64" s="48" t="s">
        <v>96</v>
      </c>
      <c r="B64">
        <v>535</v>
      </c>
      <c r="C64">
        <f>RTD("tos.rtd", , "LAST", stocks[[#This Row],[Symbol]])</f>
        <v>2.16</v>
      </c>
      <c r="D64">
        <v>2.78</v>
      </c>
      <c r="E64">
        <v>-1489.72</v>
      </c>
      <c r="F64" s="23">
        <f>IFERROR((stocks[[#This Row],[Current Price]]-stocks[[#This Row],[Avg Price]])*stocks[[#This Row],[Current Qty]],"")</f>
        <v>-331.69999999999982</v>
      </c>
      <c r="G64" s="14"/>
      <c r="H64" s="14"/>
    </row>
    <row r="65" spans="1:8" x14ac:dyDescent="0.25">
      <c r="A65" s="48" t="s">
        <v>97</v>
      </c>
      <c r="B65">
        <v>130</v>
      </c>
      <c r="C65">
        <f>RTD("tos.rtd", , "LAST", stocks[[#This Row],[Symbol]])</f>
        <v>5.0199999999999996</v>
      </c>
      <c r="D65">
        <v>10.76</v>
      </c>
      <c r="E65">
        <v>-1399.25</v>
      </c>
      <c r="F65" s="23">
        <f>IFERROR((stocks[[#This Row],[Current Price]]-stocks[[#This Row],[Avg Price]])*stocks[[#This Row],[Current Qty]],"")</f>
        <v>-746.2</v>
      </c>
      <c r="G65" s="14"/>
      <c r="H65" s="14"/>
    </row>
    <row r="66" spans="1:8" x14ac:dyDescent="0.25">
      <c r="A66" s="48" t="s">
        <v>98</v>
      </c>
      <c r="B66">
        <v>100</v>
      </c>
      <c r="C66">
        <f>RTD("tos.rtd", , "LAST", stocks[[#This Row],[Symbol]])</f>
        <v>7.1550000000000002</v>
      </c>
      <c r="D66">
        <v>4</v>
      </c>
      <c r="E66">
        <v>-400</v>
      </c>
      <c r="F66" s="23">
        <f>IFERROR((stocks[[#This Row],[Current Price]]-stocks[[#This Row],[Avg Price]])*stocks[[#This Row],[Current Qty]],"")</f>
        <v>315.5</v>
      </c>
      <c r="G66" s="14"/>
      <c r="H66" s="14"/>
    </row>
    <row r="67" spans="1:8" x14ac:dyDescent="0.25">
      <c r="A67" s="48" t="s">
        <v>99</v>
      </c>
      <c r="B67">
        <v>0</v>
      </c>
      <c r="C67">
        <f>RTD("tos.rtd", , "LAST", stocks[[#This Row],[Symbol]])</f>
        <v>3.7349999999999999</v>
      </c>
      <c r="E67">
        <v>-160.4</v>
      </c>
      <c r="F67" s="23">
        <f>IFERROR((stocks[[#This Row],[Current Price]]-stocks[[#This Row],[Avg Price]])*stocks[[#This Row],[Current Qty]],"")</f>
        <v>0</v>
      </c>
      <c r="G67" s="14">
        <v>-160.4</v>
      </c>
      <c r="H67" s="14"/>
    </row>
    <row r="68" spans="1:8" x14ac:dyDescent="0.25">
      <c r="A68" s="48" t="s">
        <v>100</v>
      </c>
      <c r="B68">
        <v>20</v>
      </c>
      <c r="C68">
        <f>RTD("tos.rtd", , "LAST", stocks[[#This Row],[Symbol]])</f>
        <v>56.09</v>
      </c>
      <c r="D68">
        <v>43.6</v>
      </c>
      <c r="E68">
        <v>-872.1</v>
      </c>
      <c r="F68" s="23">
        <f>IFERROR((stocks[[#This Row],[Current Price]]-stocks[[#This Row],[Avg Price]])*stocks[[#This Row],[Current Qty]],"")</f>
        <v>249.80000000000004</v>
      </c>
      <c r="G68" s="14"/>
      <c r="H68" s="14"/>
    </row>
    <row r="69" spans="1:8" x14ac:dyDescent="0.25">
      <c r="A69" s="48" t="s">
        <v>101</v>
      </c>
      <c r="B69">
        <v>15</v>
      </c>
      <c r="C69">
        <f>RTD("tos.rtd", , "LAST", stocks[[#This Row],[Symbol]])</f>
        <v>85.82</v>
      </c>
      <c r="D69">
        <v>79.37</v>
      </c>
      <c r="E69">
        <v>-1190.5999999999999</v>
      </c>
      <c r="F69" s="49">
        <f>IFERROR((stocks[[#This Row],[Current Price]]-stocks[[#This Row],[Avg Price]])*stocks[[#This Row],[Current Qty]],"")</f>
        <v>96.749999999999829</v>
      </c>
      <c r="G69" s="14"/>
      <c r="H69" s="14"/>
    </row>
  </sheetData>
  <mergeCells count="4">
    <mergeCell ref="A2:B2"/>
    <mergeCell ref="A1:B1"/>
    <mergeCell ref="I22:Q24"/>
    <mergeCell ref="I44:Q45"/>
  </mergeCells>
  <phoneticPr fontId="1" type="noConversion"/>
  <conditionalFormatting sqref="G5:H69">
    <cfRule type="colorScale" priority="38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conditionalFormatting sqref="F5:F69">
    <cfRule type="colorScale" priority="43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69"/>
  <sheetViews>
    <sheetView zoomScale="120" zoomScaleNormal="120" workbookViewId="0">
      <pane ySplit="4" topLeftCell="A5" activePane="bottomLeft" state="frozen"/>
      <selection pane="bottomLeft" activeCell="I29" sqref="I29"/>
    </sheetView>
  </sheetViews>
  <sheetFormatPr defaultRowHeight="15" x14ac:dyDescent="0.25"/>
  <cols>
    <col min="1" max="1" width="15.71093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3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65</v>
      </c>
      <c r="D1" s="33" t="s">
        <v>108</v>
      </c>
      <c r="E1" s="34">
        <f>-GETPIVOTDATA("[Measures].[Sum of Capital or Gain]",$I$4)</f>
        <v>53795.946000000011</v>
      </c>
      <c r="G1" s="25"/>
    </row>
    <row r="2" spans="1:115" ht="15.75" thickBot="1" x14ac:dyDescent="0.3">
      <c r="A2" s="16" t="s">
        <v>22</v>
      </c>
      <c r="B2" s="15">
        <f>COUNTA(trades[Exec Time])</f>
        <v>139</v>
      </c>
      <c r="D2" s="28"/>
      <c r="E2" s="25"/>
    </row>
    <row r="4" spans="1:115" s="7" customFormat="1" x14ac:dyDescent="0.25">
      <c r="A4" s="5" t="s">
        <v>6</v>
      </c>
      <c r="B4" s="6" t="s">
        <v>16</v>
      </c>
      <c r="C4" s="12" t="s">
        <v>31</v>
      </c>
      <c r="D4" s="12" t="s">
        <v>25</v>
      </c>
      <c r="E4" s="12" t="s">
        <v>35</v>
      </c>
      <c r="F4" s="12" t="s">
        <v>30</v>
      </c>
      <c r="G4" s="6" t="s">
        <v>26</v>
      </c>
      <c r="I4" s="13" t="s">
        <v>6</v>
      </c>
      <c r="J4" t="s">
        <v>22</v>
      </c>
      <c r="K4" t="s">
        <v>21</v>
      </c>
      <c r="L4" t="s">
        <v>108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38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23">
        <v>669.00999999999988</v>
      </c>
      <c r="G5" s="23">
        <v>0</v>
      </c>
      <c r="I5" s="11" t="s">
        <v>102</v>
      </c>
      <c r="J5" s="20"/>
      <c r="K5" s="20"/>
      <c r="L5" s="14"/>
    </row>
    <row r="6" spans="1:115" x14ac:dyDescent="0.25">
      <c r="A6" s="3" t="s">
        <v>39</v>
      </c>
      <c r="B6" s="24">
        <v>5</v>
      </c>
      <c r="C6" s="23">
        <v>80</v>
      </c>
      <c r="D6" s="23">
        <v>80</v>
      </c>
      <c r="E6" s="23">
        <v>-400</v>
      </c>
      <c r="F6" s="23">
        <v>-1.3000000000000256</v>
      </c>
      <c r="G6" s="23">
        <v>0</v>
      </c>
      <c r="I6" s="30" t="s">
        <v>110</v>
      </c>
      <c r="J6" s="20">
        <v>8</v>
      </c>
      <c r="K6" s="20">
        <v>6</v>
      </c>
      <c r="L6" s="14">
        <v>-2918.0499999999997</v>
      </c>
    </row>
    <row r="7" spans="1:115" x14ac:dyDescent="0.25">
      <c r="A7" s="3" t="s">
        <v>40</v>
      </c>
      <c r="B7" s="24">
        <v>5</v>
      </c>
      <c r="C7" s="23">
        <v>249.13</v>
      </c>
      <c r="D7" s="23">
        <v>249.13000000000002</v>
      </c>
      <c r="E7" s="23">
        <v>-1245.6500000000001</v>
      </c>
      <c r="F7" s="23">
        <v>-291.35000000000002</v>
      </c>
      <c r="G7" s="23">
        <v>0</v>
      </c>
      <c r="I7" s="30" t="s">
        <v>111</v>
      </c>
      <c r="J7" s="20">
        <v>2</v>
      </c>
      <c r="K7" s="20">
        <v>2</v>
      </c>
      <c r="L7" s="14">
        <v>-910.45</v>
      </c>
    </row>
    <row r="8" spans="1:115" x14ac:dyDescent="0.25">
      <c r="A8" s="3" t="s">
        <v>41</v>
      </c>
      <c r="B8" s="24">
        <v>50</v>
      </c>
      <c r="C8" s="23">
        <v>10.42</v>
      </c>
      <c r="D8" s="23">
        <v>10.42</v>
      </c>
      <c r="E8" s="23">
        <v>-521</v>
      </c>
      <c r="F8" s="23">
        <v>690.99999999999989</v>
      </c>
      <c r="G8" s="23">
        <v>0</v>
      </c>
      <c r="I8" s="30" t="s">
        <v>112</v>
      </c>
      <c r="J8" s="20">
        <v>2</v>
      </c>
      <c r="K8" s="20">
        <v>2</v>
      </c>
      <c r="L8" s="14">
        <v>412.71600000000001</v>
      </c>
    </row>
    <row r="9" spans="1:115" x14ac:dyDescent="0.25">
      <c r="A9" s="3" t="s">
        <v>42</v>
      </c>
      <c r="B9" s="24">
        <v>375</v>
      </c>
      <c r="C9" s="23">
        <v>1.33</v>
      </c>
      <c r="D9" s="23">
        <v>1.33</v>
      </c>
      <c r="E9" s="23">
        <v>-498.75</v>
      </c>
      <c r="F9" s="23">
        <v>-129.37500000000003</v>
      </c>
      <c r="G9" s="23">
        <v>0</v>
      </c>
      <c r="I9" s="11" t="s">
        <v>23</v>
      </c>
      <c r="J9" s="20"/>
      <c r="K9" s="20"/>
      <c r="L9" s="14"/>
    </row>
    <row r="10" spans="1:115" x14ac:dyDescent="0.25">
      <c r="A10" s="3" t="s">
        <v>43</v>
      </c>
      <c r="B10" s="24">
        <v>10</v>
      </c>
      <c r="C10" s="23">
        <v>38.950000000000003</v>
      </c>
      <c r="D10" s="23">
        <v>38.950000000000003</v>
      </c>
      <c r="E10" s="23">
        <v>-389.5</v>
      </c>
      <c r="F10" s="23">
        <v>212.65</v>
      </c>
      <c r="G10" s="23">
        <v>0</v>
      </c>
      <c r="I10" s="30" t="s">
        <v>113</v>
      </c>
      <c r="J10" s="20">
        <v>8</v>
      </c>
      <c r="K10" s="20">
        <v>4</v>
      </c>
      <c r="L10" s="14">
        <v>-5652.45</v>
      </c>
    </row>
    <row r="11" spans="1:115" x14ac:dyDescent="0.25">
      <c r="A11" s="3" t="s">
        <v>44</v>
      </c>
      <c r="B11" s="24">
        <v>20</v>
      </c>
      <c r="C11" s="23">
        <v>70</v>
      </c>
      <c r="D11" s="23">
        <v>61.995000000000005</v>
      </c>
      <c r="E11" s="23">
        <v>-1239.9000000000001</v>
      </c>
      <c r="F11" s="23">
        <v>70.699999999999932</v>
      </c>
      <c r="G11" s="23">
        <v>0</v>
      </c>
      <c r="I11" s="30" t="s">
        <v>114</v>
      </c>
      <c r="J11" s="20">
        <v>2</v>
      </c>
      <c r="K11" s="20">
        <v>2</v>
      </c>
      <c r="L11" s="14">
        <v>-1018.5</v>
      </c>
    </row>
    <row r="12" spans="1:115" x14ac:dyDescent="0.25">
      <c r="A12" s="3" t="s">
        <v>45</v>
      </c>
      <c r="B12" s="24">
        <v>5</v>
      </c>
      <c r="C12" s="23">
        <v>70.62</v>
      </c>
      <c r="D12" s="23">
        <v>70.62</v>
      </c>
      <c r="E12" s="23">
        <v>-353.1</v>
      </c>
      <c r="F12" s="23">
        <v>673.8</v>
      </c>
      <c r="G12" s="23">
        <v>0</v>
      </c>
      <c r="I12" s="30" t="s">
        <v>115</v>
      </c>
      <c r="J12" s="20">
        <v>12</v>
      </c>
      <c r="K12" s="20">
        <v>12</v>
      </c>
      <c r="L12" s="14">
        <v>-5472.4520000000002</v>
      </c>
    </row>
    <row r="13" spans="1:115" x14ac:dyDescent="0.25">
      <c r="A13" s="3" t="s">
        <v>46</v>
      </c>
      <c r="B13" s="24">
        <v>75</v>
      </c>
      <c r="C13" s="23">
        <v>20.23</v>
      </c>
      <c r="D13" s="23">
        <v>16.690000000000001</v>
      </c>
      <c r="E13" s="23">
        <v>-1251.75</v>
      </c>
      <c r="F13" s="23">
        <v>1248.7500000000002</v>
      </c>
      <c r="G13" s="23">
        <v>0</v>
      </c>
      <c r="I13" s="30" t="s">
        <v>116</v>
      </c>
      <c r="J13" s="20">
        <v>11</v>
      </c>
      <c r="K13" s="20">
        <v>10</v>
      </c>
      <c r="L13" s="14">
        <v>-4803.5499999999993</v>
      </c>
    </row>
    <row r="14" spans="1:115" x14ac:dyDescent="0.25">
      <c r="A14" s="3" t="s">
        <v>47</v>
      </c>
      <c r="B14" s="24">
        <v>5</v>
      </c>
      <c r="C14" s="23">
        <v>69.83</v>
      </c>
      <c r="D14" s="23">
        <v>69.83</v>
      </c>
      <c r="E14" s="23">
        <v>-349.15</v>
      </c>
      <c r="F14" s="23">
        <v>74.650000000000034</v>
      </c>
      <c r="G14" s="23">
        <v>0</v>
      </c>
      <c r="I14" s="30" t="s">
        <v>103</v>
      </c>
      <c r="J14" s="20">
        <v>21</v>
      </c>
      <c r="K14" s="20">
        <v>20</v>
      </c>
      <c r="L14" s="14">
        <v>-9135.4599999999991</v>
      </c>
    </row>
    <row r="15" spans="1:115" x14ac:dyDescent="0.25">
      <c r="A15" s="3" t="s">
        <v>48</v>
      </c>
      <c r="B15" s="24">
        <v>0</v>
      </c>
      <c r="C15" s="23">
        <v>17.9404</v>
      </c>
      <c r="D15" s="23">
        <v>0</v>
      </c>
      <c r="E15" s="23">
        <v>217.61599999999999</v>
      </c>
      <c r="F15" s="23">
        <v>0</v>
      </c>
      <c r="G15" s="23">
        <v>217.61600000000001</v>
      </c>
      <c r="I15" s="30" t="s">
        <v>104</v>
      </c>
      <c r="J15" s="20">
        <v>18</v>
      </c>
      <c r="K15" s="20">
        <v>16</v>
      </c>
      <c r="L15" s="14">
        <v>-7556.4999999999991</v>
      </c>
    </row>
    <row r="16" spans="1:115" x14ac:dyDescent="0.25">
      <c r="A16" s="3" t="s">
        <v>49</v>
      </c>
      <c r="B16" s="24">
        <v>25</v>
      </c>
      <c r="C16" s="23">
        <v>19</v>
      </c>
      <c r="D16" s="23">
        <v>19</v>
      </c>
      <c r="E16" s="23">
        <v>-475</v>
      </c>
      <c r="F16" s="23">
        <v>-202.5</v>
      </c>
      <c r="G16" s="23">
        <v>0</v>
      </c>
      <c r="I16" s="30" t="s">
        <v>117</v>
      </c>
      <c r="J16" s="20">
        <v>10</v>
      </c>
      <c r="K16" s="20">
        <v>10</v>
      </c>
      <c r="L16" s="14">
        <v>-3389.6</v>
      </c>
    </row>
    <row r="17" spans="1:12" x14ac:dyDescent="0.25">
      <c r="A17" s="3" t="s">
        <v>50</v>
      </c>
      <c r="B17" s="24">
        <v>10</v>
      </c>
      <c r="C17" s="23">
        <v>107.5</v>
      </c>
      <c r="D17" s="23">
        <v>98.75</v>
      </c>
      <c r="E17" s="23">
        <v>-987.5</v>
      </c>
      <c r="F17" s="23">
        <v>48.889999999999958</v>
      </c>
      <c r="G17" s="23">
        <v>0</v>
      </c>
      <c r="I17" s="30" t="s">
        <v>105</v>
      </c>
      <c r="J17" s="20">
        <v>14</v>
      </c>
      <c r="K17" s="20">
        <v>13</v>
      </c>
      <c r="L17" s="14">
        <v>-5962.8499999999995</v>
      </c>
    </row>
    <row r="18" spans="1:12" x14ac:dyDescent="0.25">
      <c r="A18" s="3" t="s">
        <v>51</v>
      </c>
      <c r="B18" s="24">
        <v>15</v>
      </c>
      <c r="C18" s="23">
        <v>33.33</v>
      </c>
      <c r="D18" s="23">
        <v>33.33</v>
      </c>
      <c r="E18" s="23">
        <v>-499.95</v>
      </c>
      <c r="F18" s="23">
        <v>-89.249999999999986</v>
      </c>
      <c r="G18" s="23">
        <v>0</v>
      </c>
      <c r="I18" s="30" t="s">
        <v>118</v>
      </c>
      <c r="J18" s="20">
        <v>16</v>
      </c>
      <c r="K18" s="20">
        <v>16</v>
      </c>
      <c r="L18" s="14">
        <v>-7244.7499999999991</v>
      </c>
    </row>
    <row r="19" spans="1:12" x14ac:dyDescent="0.25">
      <c r="A19" s="3" t="s">
        <v>52</v>
      </c>
      <c r="B19" s="24">
        <v>5</v>
      </c>
      <c r="C19" s="23">
        <v>74</v>
      </c>
      <c r="D19" s="23">
        <v>74</v>
      </c>
      <c r="E19" s="23">
        <v>-370</v>
      </c>
      <c r="F19" s="23">
        <v>63.75</v>
      </c>
      <c r="G19" s="23">
        <v>0</v>
      </c>
      <c r="I19" s="30" t="s">
        <v>110</v>
      </c>
      <c r="J19" s="20">
        <v>11</v>
      </c>
      <c r="K19" s="20">
        <v>11</v>
      </c>
      <c r="L19" s="14">
        <v>-215.9000000000002</v>
      </c>
    </row>
    <row r="20" spans="1:12" x14ac:dyDescent="0.25">
      <c r="A20" s="3" t="s">
        <v>53</v>
      </c>
      <c r="B20" s="24">
        <v>5</v>
      </c>
      <c r="C20" s="23">
        <v>89.69</v>
      </c>
      <c r="D20" s="23">
        <v>89.69</v>
      </c>
      <c r="E20" s="23">
        <v>-448.45</v>
      </c>
      <c r="F20" s="23">
        <v>97.550000000000026</v>
      </c>
      <c r="G20" s="23">
        <v>0</v>
      </c>
      <c r="I20" s="30" t="s">
        <v>112</v>
      </c>
      <c r="J20" s="20">
        <v>1</v>
      </c>
      <c r="K20" s="20">
        <v>1</v>
      </c>
      <c r="L20" s="14">
        <v>-577.5</v>
      </c>
    </row>
    <row r="21" spans="1:12" x14ac:dyDescent="0.25">
      <c r="A21" s="3" t="s">
        <v>54</v>
      </c>
      <c r="B21" s="24">
        <v>5</v>
      </c>
      <c r="C21" s="23">
        <v>100</v>
      </c>
      <c r="D21" s="23">
        <v>100</v>
      </c>
      <c r="E21" s="23">
        <v>-500</v>
      </c>
      <c r="F21" s="23">
        <v>217.75000000000006</v>
      </c>
      <c r="G21" s="23">
        <v>0</v>
      </c>
      <c r="I21" s="11" t="s">
        <v>37</v>
      </c>
      <c r="J21" s="20"/>
      <c r="K21" s="20"/>
      <c r="L21" s="14"/>
    </row>
    <row r="22" spans="1:12" x14ac:dyDescent="0.25">
      <c r="A22" s="3" t="s">
        <v>55</v>
      </c>
      <c r="B22" s="24">
        <v>25</v>
      </c>
      <c r="C22" s="23">
        <v>80.97</v>
      </c>
      <c r="D22" s="23">
        <v>75.804000000000002</v>
      </c>
      <c r="E22" s="23">
        <v>-1895.1</v>
      </c>
      <c r="F22" s="23">
        <v>-374.97500000000008</v>
      </c>
      <c r="G22" s="23">
        <v>0</v>
      </c>
      <c r="I22" s="30" t="s">
        <v>114</v>
      </c>
      <c r="J22" s="20">
        <v>3</v>
      </c>
      <c r="K22" s="20">
        <v>2</v>
      </c>
      <c r="L22" s="14">
        <v>649.35</v>
      </c>
    </row>
    <row r="23" spans="1:12" x14ac:dyDescent="0.25">
      <c r="A23" s="3" t="s">
        <v>56</v>
      </c>
      <c r="B23" s="24">
        <v>45</v>
      </c>
      <c r="C23" s="23">
        <v>10.84</v>
      </c>
      <c r="D23" s="23">
        <v>10.84</v>
      </c>
      <c r="E23" s="23">
        <v>-487.8</v>
      </c>
      <c r="F23" s="23">
        <v>504.45000000000005</v>
      </c>
      <c r="G23" s="23">
        <v>0</v>
      </c>
      <c r="I23" s="11" t="s">
        <v>24</v>
      </c>
      <c r="J23" s="20">
        <v>139</v>
      </c>
      <c r="K23" s="20">
        <v>65</v>
      </c>
      <c r="L23" s="14">
        <v>-53795.946000000011</v>
      </c>
    </row>
    <row r="24" spans="1:12" x14ac:dyDescent="0.25">
      <c r="A24" s="3" t="s">
        <v>57</v>
      </c>
      <c r="B24" s="24">
        <v>50</v>
      </c>
      <c r="C24" s="23">
        <v>10.050000000000001</v>
      </c>
      <c r="D24" s="23">
        <v>10.050000000000001</v>
      </c>
      <c r="E24" s="23">
        <v>-502.50000000000006</v>
      </c>
      <c r="F24" s="23">
        <v>-66.000000000000014</v>
      </c>
      <c r="G24" s="23">
        <v>0</v>
      </c>
    </row>
    <row r="25" spans="1:12" x14ac:dyDescent="0.25">
      <c r="A25" s="3" t="s">
        <v>58</v>
      </c>
      <c r="B25" s="24">
        <v>10</v>
      </c>
      <c r="C25" s="23">
        <v>91.76</v>
      </c>
      <c r="D25" s="23">
        <v>88.13</v>
      </c>
      <c r="E25" s="23">
        <v>-881.3</v>
      </c>
      <c r="F25" s="23">
        <v>-216.29999999999995</v>
      </c>
      <c r="G25" s="23">
        <v>0</v>
      </c>
    </row>
    <row r="26" spans="1:12" x14ac:dyDescent="0.25">
      <c r="A26" s="3" t="s">
        <v>59</v>
      </c>
      <c r="B26" s="24">
        <v>10</v>
      </c>
      <c r="C26" s="23">
        <v>44.5</v>
      </c>
      <c r="D26" s="23">
        <v>44.5</v>
      </c>
      <c r="E26" s="23">
        <v>-445</v>
      </c>
      <c r="F26" s="23">
        <v>107.40000000000002</v>
      </c>
      <c r="G26" s="23">
        <v>0</v>
      </c>
    </row>
    <row r="27" spans="1:12" x14ac:dyDescent="0.25">
      <c r="A27" s="3" t="s">
        <v>60</v>
      </c>
      <c r="B27" s="24">
        <v>60</v>
      </c>
      <c r="C27" s="23">
        <v>8.36</v>
      </c>
      <c r="D27" s="23">
        <v>8.3600000000000012</v>
      </c>
      <c r="E27" s="23">
        <v>-501.6</v>
      </c>
      <c r="F27" s="23">
        <v>-159.90000000000006</v>
      </c>
      <c r="G27" s="23">
        <v>0</v>
      </c>
    </row>
    <row r="28" spans="1:12" x14ac:dyDescent="0.25">
      <c r="A28" s="3" t="s">
        <v>61</v>
      </c>
      <c r="B28" s="24">
        <v>10</v>
      </c>
      <c r="C28" s="23">
        <v>41.15</v>
      </c>
      <c r="D28" s="23">
        <v>41.15</v>
      </c>
      <c r="E28" s="23">
        <v>-411.5</v>
      </c>
      <c r="F28" s="23">
        <v>-34.399999999999977</v>
      </c>
      <c r="G28" s="23">
        <v>0</v>
      </c>
    </row>
    <row r="29" spans="1:12" x14ac:dyDescent="0.25">
      <c r="A29" s="3" t="s">
        <v>62</v>
      </c>
      <c r="B29" s="24">
        <v>20</v>
      </c>
      <c r="C29" s="23">
        <v>96.75</v>
      </c>
      <c r="D29" s="23">
        <v>94.537499999999994</v>
      </c>
      <c r="E29" s="23">
        <v>-1890.75</v>
      </c>
      <c r="F29" s="23">
        <v>-477.74999999999977</v>
      </c>
      <c r="G29" s="23">
        <v>0</v>
      </c>
    </row>
    <row r="30" spans="1:12" x14ac:dyDescent="0.25">
      <c r="A30" s="3" t="s">
        <v>63</v>
      </c>
      <c r="B30" s="24">
        <v>90</v>
      </c>
      <c r="C30" s="23">
        <v>29.04</v>
      </c>
      <c r="D30" s="23">
        <v>26.404444444444444</v>
      </c>
      <c r="E30" s="23">
        <v>-2376.4</v>
      </c>
      <c r="F30" s="23">
        <v>398.2999999999999</v>
      </c>
      <c r="G30" s="23">
        <v>0</v>
      </c>
    </row>
    <row r="31" spans="1:12" x14ac:dyDescent="0.25">
      <c r="A31" s="3" t="s">
        <v>64</v>
      </c>
      <c r="B31" s="24">
        <v>45</v>
      </c>
      <c r="C31" s="23">
        <v>25.79</v>
      </c>
      <c r="D31" s="23">
        <v>22.228888888888889</v>
      </c>
      <c r="E31" s="23">
        <v>-1000.3</v>
      </c>
      <c r="F31" s="23">
        <v>316.84999999999997</v>
      </c>
      <c r="G31" s="23">
        <v>0</v>
      </c>
    </row>
    <row r="32" spans="1:12" x14ac:dyDescent="0.25">
      <c r="A32" s="3" t="s">
        <v>65</v>
      </c>
      <c r="B32" s="24">
        <v>45</v>
      </c>
      <c r="C32" s="23">
        <v>23.26</v>
      </c>
      <c r="D32" s="23">
        <v>22.004444444444445</v>
      </c>
      <c r="E32" s="23">
        <v>-990.2</v>
      </c>
      <c r="F32" s="23">
        <v>783.02499999999998</v>
      </c>
      <c r="G32" s="23">
        <v>0</v>
      </c>
    </row>
    <row r="33" spans="1:7" x14ac:dyDescent="0.25">
      <c r="A33" s="3" t="s">
        <v>66</v>
      </c>
      <c r="B33" s="24">
        <v>575</v>
      </c>
      <c r="C33" s="23">
        <v>6.11</v>
      </c>
      <c r="D33" s="23">
        <v>5.1386556521739131</v>
      </c>
      <c r="E33" s="23">
        <v>-2954.7269999999999</v>
      </c>
      <c r="F33" s="23">
        <v>1182.3980000000001</v>
      </c>
      <c r="G33" s="23">
        <v>0</v>
      </c>
    </row>
    <row r="34" spans="1:7" x14ac:dyDescent="0.25">
      <c r="A34" s="3" t="s">
        <v>67</v>
      </c>
      <c r="B34" s="24">
        <v>75</v>
      </c>
      <c r="C34" s="23">
        <v>21</v>
      </c>
      <c r="D34" s="23">
        <v>19.813333333333333</v>
      </c>
      <c r="E34" s="23">
        <v>-1486</v>
      </c>
      <c r="F34" s="23">
        <v>817.25000000000011</v>
      </c>
      <c r="G34" s="23">
        <v>0</v>
      </c>
    </row>
    <row r="35" spans="1:7" x14ac:dyDescent="0.25">
      <c r="A35" s="3" t="s">
        <v>68</v>
      </c>
      <c r="B35" s="24">
        <v>10</v>
      </c>
      <c r="C35" s="23">
        <v>46</v>
      </c>
      <c r="D35" s="23">
        <v>46</v>
      </c>
      <c r="E35" s="23">
        <v>-460</v>
      </c>
      <c r="F35" s="23">
        <v>-12.199999999999989</v>
      </c>
      <c r="G35" s="23">
        <v>0</v>
      </c>
    </row>
    <row r="36" spans="1:7" x14ac:dyDescent="0.25">
      <c r="A36" s="3" t="s">
        <v>69</v>
      </c>
      <c r="B36" s="24">
        <v>5</v>
      </c>
      <c r="C36" s="23">
        <v>92</v>
      </c>
      <c r="D36" s="23">
        <v>92</v>
      </c>
      <c r="E36" s="23">
        <v>-460</v>
      </c>
      <c r="F36" s="23">
        <v>94.099999999999966</v>
      </c>
      <c r="G36" s="23">
        <v>0</v>
      </c>
    </row>
    <row r="37" spans="1:7" x14ac:dyDescent="0.25">
      <c r="A37" s="3" t="s">
        <v>70</v>
      </c>
      <c r="B37" s="24">
        <v>135</v>
      </c>
      <c r="C37" s="23">
        <v>3.47</v>
      </c>
      <c r="D37" s="23">
        <v>3.47</v>
      </c>
      <c r="E37" s="23">
        <v>-468.45000000000005</v>
      </c>
      <c r="F37" s="23">
        <v>-71.55000000000004</v>
      </c>
      <c r="G37" s="23">
        <v>0</v>
      </c>
    </row>
    <row r="38" spans="1:7" x14ac:dyDescent="0.25">
      <c r="A38" s="3" t="s">
        <v>71</v>
      </c>
      <c r="B38" s="24">
        <v>30</v>
      </c>
      <c r="C38" s="23">
        <v>16</v>
      </c>
      <c r="D38" s="23">
        <v>16</v>
      </c>
      <c r="E38" s="23">
        <v>-480</v>
      </c>
      <c r="F38" s="23">
        <v>35.100000000000051</v>
      </c>
      <c r="G38" s="23">
        <v>0</v>
      </c>
    </row>
    <row r="39" spans="1:7" x14ac:dyDescent="0.25">
      <c r="A39" s="3" t="s">
        <v>72</v>
      </c>
      <c r="B39" s="24">
        <v>65</v>
      </c>
      <c r="C39" s="23">
        <v>7.18</v>
      </c>
      <c r="D39" s="23">
        <v>7.1799999999999979</v>
      </c>
      <c r="E39" s="23">
        <v>-466.69999999999987</v>
      </c>
      <c r="F39" s="23">
        <v>-36.724999999999852</v>
      </c>
      <c r="G39" s="23">
        <v>0</v>
      </c>
    </row>
    <row r="40" spans="1:7" x14ac:dyDescent="0.25">
      <c r="A40" s="3" t="s">
        <v>123</v>
      </c>
      <c r="B40" s="24">
        <v>0</v>
      </c>
      <c r="C40" s="23">
        <v>528.20000000000005</v>
      </c>
      <c r="D40" s="23">
        <v>0</v>
      </c>
      <c r="E40" s="23">
        <v>1002</v>
      </c>
      <c r="F40" s="23">
        <v>0</v>
      </c>
      <c r="G40" s="23">
        <v>1002.0000000000005</v>
      </c>
    </row>
    <row r="41" spans="1:7" x14ac:dyDescent="0.25">
      <c r="A41" s="3" t="s">
        <v>73</v>
      </c>
      <c r="B41" s="24">
        <v>25</v>
      </c>
      <c r="C41" s="23">
        <v>39</v>
      </c>
      <c r="D41" s="23">
        <v>35.4</v>
      </c>
      <c r="E41" s="23">
        <v>-885</v>
      </c>
      <c r="F41" s="23">
        <v>100.62499999999997</v>
      </c>
      <c r="G41" s="23">
        <v>0</v>
      </c>
    </row>
    <row r="42" spans="1:7" x14ac:dyDescent="0.25">
      <c r="A42" s="3" t="s">
        <v>74</v>
      </c>
      <c r="B42" s="24">
        <v>5</v>
      </c>
      <c r="C42" s="23">
        <v>78.34</v>
      </c>
      <c r="D42" s="23">
        <v>78.34</v>
      </c>
      <c r="E42" s="23">
        <v>-391.70000000000005</v>
      </c>
      <c r="F42" s="23">
        <v>207.04999999999998</v>
      </c>
      <c r="G42" s="23">
        <v>0</v>
      </c>
    </row>
    <row r="43" spans="1:7" x14ac:dyDescent="0.25">
      <c r="A43" s="3" t="s">
        <v>75</v>
      </c>
      <c r="B43" s="24">
        <v>20</v>
      </c>
      <c r="C43" s="23">
        <v>42</v>
      </c>
      <c r="D43" s="23">
        <v>42</v>
      </c>
      <c r="E43" s="23">
        <v>-840</v>
      </c>
      <c r="F43" s="23">
        <v>568.19999999999993</v>
      </c>
      <c r="G43" s="23">
        <v>0</v>
      </c>
    </row>
    <row r="44" spans="1:7" x14ac:dyDescent="0.25">
      <c r="A44" s="3" t="s">
        <v>76</v>
      </c>
      <c r="B44" s="24">
        <v>25</v>
      </c>
      <c r="C44" s="23">
        <v>36.619999999999997</v>
      </c>
      <c r="D44" s="23">
        <v>34.646000000000001</v>
      </c>
      <c r="E44" s="23">
        <v>-866.15</v>
      </c>
      <c r="F44" s="23">
        <v>362.1</v>
      </c>
      <c r="G44" s="23">
        <v>0</v>
      </c>
    </row>
    <row r="45" spans="1:7" x14ac:dyDescent="0.25">
      <c r="A45" s="3" t="s">
        <v>77</v>
      </c>
      <c r="B45" s="24">
        <v>15</v>
      </c>
      <c r="C45" s="23">
        <v>134.49</v>
      </c>
      <c r="D45" s="23">
        <v>115.33</v>
      </c>
      <c r="E45" s="23">
        <v>-1729.95</v>
      </c>
      <c r="F45" s="23">
        <v>-127.04999999999998</v>
      </c>
      <c r="G45" s="23">
        <v>0</v>
      </c>
    </row>
    <row r="46" spans="1:7" x14ac:dyDescent="0.25">
      <c r="A46" s="3" t="s">
        <v>78</v>
      </c>
      <c r="B46" s="24">
        <v>10</v>
      </c>
      <c r="C46" s="23">
        <v>60.98</v>
      </c>
      <c r="D46" s="23">
        <v>57.739999999999995</v>
      </c>
      <c r="E46" s="23">
        <v>-577.4</v>
      </c>
      <c r="F46" s="23">
        <v>290.79999999999995</v>
      </c>
      <c r="G46" s="23">
        <v>0</v>
      </c>
    </row>
    <row r="47" spans="1:7" x14ac:dyDescent="0.25">
      <c r="A47" s="3" t="s">
        <v>79</v>
      </c>
      <c r="B47" s="24">
        <v>10</v>
      </c>
      <c r="C47" s="23">
        <v>132.53</v>
      </c>
      <c r="D47" s="23">
        <v>115.28</v>
      </c>
      <c r="E47" s="23">
        <v>-1152.8</v>
      </c>
      <c r="F47" s="23">
        <v>187.84999999999997</v>
      </c>
      <c r="G47" s="23">
        <v>0</v>
      </c>
    </row>
    <row r="48" spans="1:7" x14ac:dyDescent="0.25">
      <c r="A48" s="3" t="s">
        <v>80</v>
      </c>
      <c r="B48" s="24">
        <v>10</v>
      </c>
      <c r="C48" s="23">
        <v>42.14</v>
      </c>
      <c r="D48" s="23">
        <v>42.14</v>
      </c>
      <c r="E48" s="23">
        <v>-421.4</v>
      </c>
      <c r="F48" s="23">
        <v>31.499999999999986</v>
      </c>
      <c r="G48" s="23">
        <v>0</v>
      </c>
    </row>
    <row r="49" spans="1:7" x14ac:dyDescent="0.25">
      <c r="A49" s="3" t="s">
        <v>81</v>
      </c>
      <c r="B49" s="24">
        <v>140</v>
      </c>
      <c r="C49" s="23">
        <v>10.805</v>
      </c>
      <c r="D49" s="23">
        <v>10.449107142857143</v>
      </c>
      <c r="E49" s="23">
        <v>-1462.875</v>
      </c>
      <c r="F49" s="23">
        <v>-333.77500000000003</v>
      </c>
      <c r="G49" s="23">
        <v>0</v>
      </c>
    </row>
    <row r="50" spans="1:7" x14ac:dyDescent="0.25">
      <c r="A50" s="3" t="s">
        <v>82</v>
      </c>
      <c r="B50" s="24">
        <v>75</v>
      </c>
      <c r="C50" s="23">
        <v>20</v>
      </c>
      <c r="D50" s="23">
        <v>19</v>
      </c>
      <c r="E50" s="23">
        <v>-1425</v>
      </c>
      <c r="F50" s="23">
        <v>34.500000000000064</v>
      </c>
      <c r="G50" s="23">
        <v>0</v>
      </c>
    </row>
    <row r="51" spans="1:7" x14ac:dyDescent="0.25">
      <c r="A51" s="3" t="s">
        <v>83</v>
      </c>
      <c r="B51" s="24">
        <v>20</v>
      </c>
      <c r="C51" s="23">
        <v>22.52</v>
      </c>
      <c r="D51" s="23">
        <v>22.52</v>
      </c>
      <c r="E51" s="23">
        <v>-450.4</v>
      </c>
      <c r="F51" s="23">
        <v>37.30000000000004</v>
      </c>
      <c r="G51" s="23">
        <v>0</v>
      </c>
    </row>
    <row r="52" spans="1:7" x14ac:dyDescent="0.25">
      <c r="A52" s="3" t="s">
        <v>84</v>
      </c>
      <c r="B52" s="24">
        <v>30</v>
      </c>
      <c r="C52" s="23">
        <v>11.8</v>
      </c>
      <c r="D52" s="23">
        <v>11.8</v>
      </c>
      <c r="E52" s="23">
        <v>-354</v>
      </c>
      <c r="F52" s="23">
        <v>34.499999999999957</v>
      </c>
      <c r="G52" s="23">
        <v>0</v>
      </c>
    </row>
    <row r="53" spans="1:7" x14ac:dyDescent="0.25">
      <c r="A53" s="3" t="s">
        <v>85</v>
      </c>
      <c r="B53" s="24">
        <v>30</v>
      </c>
      <c r="C53" s="23">
        <v>17</v>
      </c>
      <c r="D53" s="23">
        <v>17</v>
      </c>
      <c r="E53" s="23">
        <v>-510</v>
      </c>
      <c r="F53" s="23">
        <v>-312.45</v>
      </c>
      <c r="G53" s="23">
        <v>0</v>
      </c>
    </row>
    <row r="54" spans="1:7" x14ac:dyDescent="0.25">
      <c r="A54" s="3" t="s">
        <v>86</v>
      </c>
      <c r="B54" s="24">
        <v>10</v>
      </c>
      <c r="C54" s="23">
        <v>35.5</v>
      </c>
      <c r="D54" s="23">
        <v>35.5</v>
      </c>
      <c r="E54" s="23">
        <v>-355</v>
      </c>
      <c r="F54" s="23">
        <v>450.3</v>
      </c>
      <c r="G54" s="23">
        <v>0</v>
      </c>
    </row>
    <row r="55" spans="1:7" x14ac:dyDescent="0.25">
      <c r="A55" s="3" t="s">
        <v>87</v>
      </c>
      <c r="B55" s="24">
        <v>10</v>
      </c>
      <c r="C55" s="23">
        <v>39.99</v>
      </c>
      <c r="D55" s="23">
        <v>39.99</v>
      </c>
      <c r="E55" s="23">
        <v>-399.90000000000003</v>
      </c>
      <c r="F55" s="23">
        <v>327.19999999999993</v>
      </c>
      <c r="G55" s="23">
        <v>0</v>
      </c>
    </row>
    <row r="56" spans="1:7" x14ac:dyDescent="0.25">
      <c r="A56" s="3" t="s">
        <v>88</v>
      </c>
      <c r="B56" s="24">
        <v>20</v>
      </c>
      <c r="C56" s="23">
        <v>41.42</v>
      </c>
      <c r="D56" s="23">
        <v>38.464999999999996</v>
      </c>
      <c r="E56" s="23">
        <v>-769.3</v>
      </c>
      <c r="F56" s="23">
        <v>346.10000000000014</v>
      </c>
      <c r="G56" s="23">
        <v>0</v>
      </c>
    </row>
    <row r="57" spans="1:7" x14ac:dyDescent="0.25">
      <c r="A57" s="3" t="s">
        <v>89</v>
      </c>
      <c r="B57" s="24">
        <v>175</v>
      </c>
      <c r="C57" s="23">
        <v>21.1</v>
      </c>
      <c r="D57" s="23">
        <v>17.355428571428572</v>
      </c>
      <c r="E57" s="23">
        <v>-3037.2</v>
      </c>
      <c r="F57" s="23">
        <v>635.17499999999984</v>
      </c>
      <c r="G57" s="23">
        <v>0</v>
      </c>
    </row>
    <row r="58" spans="1:7" x14ac:dyDescent="0.25">
      <c r="A58" s="3" t="s">
        <v>90</v>
      </c>
      <c r="B58" s="24">
        <v>5</v>
      </c>
      <c r="C58" s="23">
        <v>95.03</v>
      </c>
      <c r="D58" s="23">
        <v>95.03</v>
      </c>
      <c r="E58" s="23">
        <v>-475.15</v>
      </c>
      <c r="F58" s="23">
        <v>101.64999999999999</v>
      </c>
      <c r="G58" s="23">
        <v>0</v>
      </c>
    </row>
    <row r="59" spans="1:7" x14ac:dyDescent="0.25">
      <c r="A59" s="3" t="s">
        <v>91</v>
      </c>
      <c r="B59" s="24">
        <v>15</v>
      </c>
      <c r="C59" s="23">
        <v>66.14</v>
      </c>
      <c r="D59" s="23">
        <v>65.206666666666663</v>
      </c>
      <c r="E59" s="23">
        <v>-978.1</v>
      </c>
      <c r="F59" s="23">
        <v>-7.5999999999999091</v>
      </c>
      <c r="G59" s="23">
        <v>0</v>
      </c>
    </row>
    <row r="60" spans="1:7" x14ac:dyDescent="0.25">
      <c r="A60" s="3" t="s">
        <v>92</v>
      </c>
      <c r="B60" s="24">
        <v>70</v>
      </c>
      <c r="C60" s="23">
        <v>6.85</v>
      </c>
      <c r="D60" s="23">
        <v>6.85</v>
      </c>
      <c r="E60" s="23">
        <v>-479.5</v>
      </c>
      <c r="F60" s="23">
        <v>-95.899999999999949</v>
      </c>
      <c r="G60" s="23">
        <v>0</v>
      </c>
    </row>
    <row r="61" spans="1:7" x14ac:dyDescent="0.25">
      <c r="A61" s="3" t="s">
        <v>93</v>
      </c>
      <c r="B61" s="24">
        <v>5</v>
      </c>
      <c r="C61" s="23">
        <v>59</v>
      </c>
      <c r="D61" s="23">
        <v>59</v>
      </c>
      <c r="E61" s="23">
        <v>-295</v>
      </c>
      <c r="F61" s="23">
        <v>90.949999999999989</v>
      </c>
      <c r="G61" s="23">
        <v>0</v>
      </c>
    </row>
    <row r="62" spans="1:7" x14ac:dyDescent="0.25">
      <c r="A62" s="3" t="s">
        <v>94</v>
      </c>
      <c r="B62" s="24">
        <v>15</v>
      </c>
      <c r="C62" s="23">
        <v>33.520000000000003</v>
      </c>
      <c r="D62" s="23">
        <v>32.885000000000005</v>
      </c>
      <c r="E62" s="23">
        <v>-565.80000000000007</v>
      </c>
      <c r="F62" s="23">
        <v>-44.100000000000072</v>
      </c>
      <c r="G62" s="23">
        <v>-72.525000000000063</v>
      </c>
    </row>
    <row r="63" spans="1:7" x14ac:dyDescent="0.25">
      <c r="A63" s="3" t="s">
        <v>95</v>
      </c>
      <c r="B63" s="24">
        <v>95</v>
      </c>
      <c r="C63" s="23">
        <v>15.49</v>
      </c>
      <c r="D63" s="23">
        <v>14.765263157894738</v>
      </c>
      <c r="E63" s="23">
        <v>-1402.7</v>
      </c>
      <c r="F63" s="23">
        <v>286.39999999999998</v>
      </c>
      <c r="G63" s="23">
        <v>0</v>
      </c>
    </row>
    <row r="64" spans="1:7" x14ac:dyDescent="0.25">
      <c r="A64" s="3" t="s">
        <v>96</v>
      </c>
      <c r="B64" s="24">
        <v>535</v>
      </c>
      <c r="C64" s="23">
        <v>2.9083999999999999</v>
      </c>
      <c r="D64" s="23">
        <v>2.7845233644859815</v>
      </c>
      <c r="E64" s="23">
        <v>-1489.72</v>
      </c>
      <c r="F64" s="23">
        <v>-334.12</v>
      </c>
      <c r="G64" s="23">
        <v>0</v>
      </c>
    </row>
    <row r="65" spans="1:7" x14ac:dyDescent="0.25">
      <c r="A65" s="3" t="s">
        <v>97</v>
      </c>
      <c r="B65" s="24">
        <v>130</v>
      </c>
      <c r="C65" s="23">
        <v>15</v>
      </c>
      <c r="D65" s="23">
        <v>10.76346153846154</v>
      </c>
      <c r="E65" s="23">
        <v>-1399.2500000000002</v>
      </c>
      <c r="F65" s="23">
        <v>-746.6500000000002</v>
      </c>
      <c r="G65" s="23">
        <v>0</v>
      </c>
    </row>
    <row r="66" spans="1:7" x14ac:dyDescent="0.25">
      <c r="A66" s="3" t="s">
        <v>98</v>
      </c>
      <c r="B66" s="24">
        <v>100</v>
      </c>
      <c r="C66" s="23">
        <v>4</v>
      </c>
      <c r="D66" s="23">
        <v>4</v>
      </c>
      <c r="E66" s="23">
        <v>-400</v>
      </c>
      <c r="F66" s="23">
        <v>315.5</v>
      </c>
      <c r="G66" s="23">
        <v>0</v>
      </c>
    </row>
    <row r="67" spans="1:7" x14ac:dyDescent="0.25">
      <c r="A67" s="3" t="s">
        <v>99</v>
      </c>
      <c r="B67" s="24">
        <v>0</v>
      </c>
      <c r="C67" s="23">
        <v>6.3</v>
      </c>
      <c r="D67" s="23">
        <v>0</v>
      </c>
      <c r="E67" s="23">
        <v>-160.4</v>
      </c>
      <c r="F67" s="23">
        <v>0</v>
      </c>
      <c r="G67" s="23">
        <v>-160.39999999999998</v>
      </c>
    </row>
    <row r="68" spans="1:7" x14ac:dyDescent="0.25">
      <c r="A68" s="3" t="s">
        <v>100</v>
      </c>
      <c r="B68" s="24">
        <v>20</v>
      </c>
      <c r="C68" s="23">
        <v>44.02</v>
      </c>
      <c r="D68" s="23">
        <v>43.605000000000004</v>
      </c>
      <c r="E68" s="23">
        <v>-872.1</v>
      </c>
      <c r="F68" s="23">
        <v>249.49999999999989</v>
      </c>
      <c r="G68" s="23">
        <v>0</v>
      </c>
    </row>
    <row r="69" spans="1:7" x14ac:dyDescent="0.25">
      <c r="A69" s="3" t="s">
        <v>101</v>
      </c>
      <c r="B69" s="24">
        <v>15</v>
      </c>
      <c r="C69" s="23">
        <v>80.989999999999995</v>
      </c>
      <c r="D69" s="23">
        <v>79.373333333333321</v>
      </c>
      <c r="E69" s="23">
        <v>-1190.5999999999999</v>
      </c>
      <c r="F69" s="23">
        <v>96.250000000000284</v>
      </c>
      <c r="G69" s="23">
        <v>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18" sqref="D18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-221.32500000000005</v>
      </c>
      <c r="C24" s="14">
        <f>SUM($B$4:monthly_pl9[[#This Row],[Gross P&amp;L]])</f>
        <v>2194.7070000000012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2194.7070000000012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2194.7070000000012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2194.7070000000012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2194.7070000000012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2194.7070000000012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2194.7070000000012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2194.7070000000012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2194.7070000000012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2194.7070000000012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2194.7070000000012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-221.32500000000005</v>
      </c>
      <c r="C35" s="14">
        <f>$C$34</f>
        <v>2194.7070000000012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2026-02-25T16:40:13Z</dcterms:modified>
</cp:coreProperties>
</file>