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EE8E1C7B-AB96-47BB-99E6-F7309D497D05}" xr6:coauthVersionLast="47" xr6:coauthVersionMax="47" xr10:uidLastSave="{00000000-0000-0000-0000-000000000000}"/>
  <bookViews>
    <workbookView xWindow="-12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value_weight!$H$2:$I$67</definedName>
    <definedName name="_xlchart.v1.1" hidden="1">value_weight!$J$2:$J$67</definedName>
    <definedName name="_xlchart.v1.2" hidden="1">value_weight!$A$2:$B$67</definedName>
    <definedName name="_xlchart.v1.3" hidden="1">value_weight!$C$2:$C$67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1" hidden="1">trades[]</definedName>
    <definedName name="ExternalData_1" localSheetId="3" hidden="1">'Portfolio Summary'!$A$4:$G$70</definedName>
    <definedName name="ExternalData_1" localSheetId="2" hidden="1">undervalued_trades!$A$1:$E$136</definedName>
    <definedName name="ExternalData_1" localSheetId="1" hidden="1">value_weight!$A$1:$E$67</definedName>
    <definedName name="ExternalData_2" localSheetId="1" hidden="1">value_weight!$H$1:$L$67</definedName>
  </definedNames>
  <calcPr calcId="191029"/>
  <pivotCaches>
    <pivotCache cacheId="28" r:id="rId7"/>
    <pivotCache cacheId="3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C14" i="3"/>
  <c r="E14" i="3" s="1"/>
  <c r="C15" i="3"/>
  <c r="E15" i="3" s="1"/>
  <c r="C16" i="3"/>
  <c r="C17" i="3"/>
  <c r="E17" i="3" s="1"/>
  <c r="C18" i="3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C26" i="3"/>
  <c r="C27" i="3"/>
  <c r="E27" i="3" s="1"/>
  <c r="C28" i="3"/>
  <c r="E28" i="3" s="1"/>
  <c r="C29" i="3"/>
  <c r="E29" i="3" s="1"/>
  <c r="C30" i="3"/>
  <c r="E30" i="3" s="1"/>
  <c r="C31" i="3"/>
  <c r="E31" i="3" s="1"/>
  <c r="C32" i="3"/>
  <c r="C33" i="3"/>
  <c r="C34" i="3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C46" i="3"/>
  <c r="C47" i="3"/>
  <c r="E47" i="3" s="1"/>
  <c r="C48" i="3"/>
  <c r="E48" i="3" s="1"/>
  <c r="C49" i="3"/>
  <c r="E49" i="3" s="1"/>
  <c r="C50" i="3"/>
  <c r="E50" i="3" s="1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C67" i="3"/>
  <c r="E67" i="3" s="1"/>
  <c r="C68" i="3"/>
  <c r="E68" i="3" s="1"/>
  <c r="C69" i="3"/>
  <c r="E69" i="3" s="1"/>
  <c r="C70" i="3"/>
  <c r="E70" i="3" s="1"/>
  <c r="E5" i="3"/>
  <c r="E13" i="3"/>
  <c r="E16" i="3"/>
  <c r="E18" i="3"/>
  <c r="E25" i="3"/>
  <c r="E26" i="3"/>
  <c r="E32" i="3"/>
  <c r="E33" i="3"/>
  <c r="E34" i="3"/>
  <c r="E45" i="3"/>
  <c r="E46" i="3"/>
  <c r="E66" i="3"/>
  <c r="F2" i="2"/>
  <c r="F3" i="2"/>
  <c r="F4" i="2"/>
  <c r="F5" i="2"/>
  <c r="F6" i="2"/>
  <c r="F7" i="2"/>
  <c r="F8" i="2"/>
  <c r="F9" i="2"/>
  <c r="F10" i="2"/>
  <c r="F11" i="2"/>
  <c r="F12" i="2"/>
  <c r="H12" i="2" s="1"/>
  <c r="I12" i="2" s="1"/>
  <c r="F13" i="2"/>
  <c r="H13" i="2" s="1"/>
  <c r="I13" i="2" s="1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H32" i="2" s="1"/>
  <c r="I32" i="2" s="1"/>
  <c r="F33" i="2"/>
  <c r="H33" i="2" s="1"/>
  <c r="I33" i="2" s="1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H48" i="2" s="1"/>
  <c r="I48" i="2" s="1"/>
  <c r="F49" i="2"/>
  <c r="F50" i="2"/>
  <c r="F51" i="2"/>
  <c r="F52" i="2"/>
  <c r="H52" i="2" s="1"/>
  <c r="I52" i="2" s="1"/>
  <c r="F53" i="2"/>
  <c r="H53" i="2" s="1"/>
  <c r="I53" i="2" s="1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H68" i="2" s="1"/>
  <c r="I68" i="2" s="1"/>
  <c r="F69" i="2"/>
  <c r="F70" i="2"/>
  <c r="F71" i="2"/>
  <c r="F72" i="2"/>
  <c r="F73" i="2"/>
  <c r="H73" i="2" s="1"/>
  <c r="I73" i="2" s="1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H92" i="2" s="1"/>
  <c r="I92" i="2" s="1"/>
  <c r="F93" i="2"/>
  <c r="H93" i="2" s="1"/>
  <c r="I93" i="2" s="1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H112" i="2" s="1"/>
  <c r="I112" i="2" s="1"/>
  <c r="F113" i="2"/>
  <c r="H113" i="2" s="1"/>
  <c r="I113" i="2" s="1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H127" i="2" s="1"/>
  <c r="I127" i="2" s="1"/>
  <c r="F128" i="2"/>
  <c r="H128" i="2" s="1"/>
  <c r="I128" i="2" s="1"/>
  <c r="F129" i="2"/>
  <c r="F130" i="2"/>
  <c r="F131" i="2"/>
  <c r="F132" i="2"/>
  <c r="H132" i="2" s="1"/>
  <c r="I132" i="2" s="1"/>
  <c r="F133" i="2"/>
  <c r="H133" i="2" s="1"/>
  <c r="I133" i="2" s="1"/>
  <c r="F134" i="2"/>
  <c r="F135" i="2"/>
  <c r="F136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H6" i="2" s="1"/>
  <c r="I6" i="2" s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I28" i="2" s="1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H46" i="2" s="1"/>
  <c r="I46" i="2" s="1"/>
  <c r="G47" i="2"/>
  <c r="G48" i="2"/>
  <c r="G49" i="2"/>
  <c r="G50" i="2"/>
  <c r="H50" i="2" s="1"/>
  <c r="I50" i="2" s="1"/>
  <c r="G51" i="2"/>
  <c r="H51" i="2" s="1"/>
  <c r="I51" i="2" s="1"/>
  <c r="G52" i="2"/>
  <c r="G53" i="2"/>
  <c r="G54" i="2"/>
  <c r="G55" i="2"/>
  <c r="G56" i="2"/>
  <c r="G57" i="2"/>
  <c r="G58" i="2"/>
  <c r="G59" i="2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G68" i="2"/>
  <c r="G69" i="2"/>
  <c r="H69" i="2" s="1"/>
  <c r="I69" i="2" s="1"/>
  <c r="G70" i="2"/>
  <c r="H70" i="2" s="1"/>
  <c r="I70" i="2" s="1"/>
  <c r="G71" i="2"/>
  <c r="H71" i="2" s="1"/>
  <c r="I71" i="2" s="1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H86" i="2" s="1"/>
  <c r="I86" i="2" s="1"/>
  <c r="G87" i="2"/>
  <c r="G88" i="2"/>
  <c r="H88" i="2" s="1"/>
  <c r="I88" i="2" s="1"/>
  <c r="G89" i="2"/>
  <c r="H89" i="2" s="1"/>
  <c r="I89" i="2" s="1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H106" i="2" s="1"/>
  <c r="I106" i="2" s="1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H126" i="2" s="1"/>
  <c r="I126" i="2" s="1"/>
  <c r="G127" i="2"/>
  <c r="G128" i="2"/>
  <c r="G129" i="2"/>
  <c r="G130" i="2"/>
  <c r="G131" i="2"/>
  <c r="G132" i="2"/>
  <c r="G133" i="2"/>
  <c r="G134" i="2"/>
  <c r="G135" i="2"/>
  <c r="G136" i="2"/>
  <c r="H7" i="2"/>
  <c r="I7" i="2" s="1"/>
  <c r="H8" i="2"/>
  <c r="I8" i="2" s="1"/>
  <c r="H9" i="2"/>
  <c r="I9" i="2" s="1"/>
  <c r="H10" i="2"/>
  <c r="I10" i="2" s="1"/>
  <c r="H11" i="2"/>
  <c r="I11" i="2" s="1"/>
  <c r="H29" i="2"/>
  <c r="I29" i="2" s="1"/>
  <c r="H30" i="2"/>
  <c r="I30" i="2" s="1"/>
  <c r="H31" i="2"/>
  <c r="I31" i="2" s="1"/>
  <c r="H49" i="2"/>
  <c r="I49" i="2" s="1"/>
  <c r="H67" i="2"/>
  <c r="I67" i="2" s="1"/>
  <c r="H87" i="2"/>
  <c r="I87" i="2" s="1"/>
  <c r="H90" i="2"/>
  <c r="I90" i="2" s="1"/>
  <c r="H91" i="2"/>
  <c r="I91" i="2" s="1"/>
  <c r="H107" i="2"/>
  <c r="I107" i="2" s="1"/>
  <c r="H108" i="2"/>
  <c r="I108" i="2" s="1"/>
  <c r="H109" i="2"/>
  <c r="I109" i="2" s="1"/>
  <c r="H110" i="2"/>
  <c r="I110" i="2" s="1"/>
  <c r="H111" i="2"/>
  <c r="I111" i="2" s="1"/>
  <c r="H129" i="2"/>
  <c r="I129" i="2" s="1"/>
  <c r="H130" i="2"/>
  <c r="I130" i="2" s="1"/>
  <c r="H131" i="2"/>
  <c r="I131" i="2" s="1"/>
  <c r="K2" i="3"/>
  <c r="K1" i="3"/>
  <c r="E1" i="4"/>
  <c r="H72" i="2" l="1"/>
  <c r="I72" i="2" s="1"/>
  <c r="H47" i="2"/>
  <c r="I47" i="2" s="1"/>
  <c r="H17" i="2"/>
  <c r="I17" i="2" s="1"/>
  <c r="H119" i="2"/>
  <c r="I119" i="2" s="1"/>
  <c r="H97" i="2"/>
  <c r="I97" i="2" s="1"/>
  <c r="H136" i="2"/>
  <c r="I136" i="2" s="1"/>
  <c r="H96" i="2"/>
  <c r="I96" i="2" s="1"/>
  <c r="H56" i="2"/>
  <c r="I56" i="2" s="1"/>
  <c r="H135" i="2"/>
  <c r="I135" i="2" s="1"/>
  <c r="H115" i="2"/>
  <c r="I115" i="2" s="1"/>
  <c r="H95" i="2"/>
  <c r="I95" i="2" s="1"/>
  <c r="H75" i="2"/>
  <c r="I75" i="2" s="1"/>
  <c r="H55" i="2"/>
  <c r="I55" i="2" s="1"/>
  <c r="H35" i="2"/>
  <c r="I35" i="2" s="1"/>
  <c r="H15" i="2"/>
  <c r="I15" i="2" s="1"/>
  <c r="H100" i="2"/>
  <c r="I100" i="2" s="1"/>
  <c r="H60" i="2"/>
  <c r="I60" i="2" s="1"/>
  <c r="H20" i="2"/>
  <c r="I20" i="2" s="1"/>
  <c r="H116" i="2"/>
  <c r="I116" i="2" s="1"/>
  <c r="H76" i="2"/>
  <c r="I76" i="2" s="1"/>
  <c r="H36" i="2"/>
  <c r="I36" i="2" s="1"/>
  <c r="H16" i="2"/>
  <c r="I16" i="2" s="1"/>
  <c r="H134" i="2"/>
  <c r="I134" i="2" s="1"/>
  <c r="H114" i="2"/>
  <c r="I114" i="2" s="1"/>
  <c r="H94" i="2"/>
  <c r="I94" i="2" s="1"/>
  <c r="H74" i="2"/>
  <c r="I74" i="2" s="1"/>
  <c r="H54" i="2"/>
  <c r="I54" i="2" s="1"/>
  <c r="H34" i="2"/>
  <c r="I34" i="2" s="1"/>
  <c r="H14" i="2"/>
  <c r="I14" i="2" s="1"/>
  <c r="H39" i="2"/>
  <c r="I39" i="2" s="1"/>
  <c r="H98" i="2"/>
  <c r="I98" i="2" s="1"/>
  <c r="H38" i="2"/>
  <c r="I38" i="2" s="1"/>
  <c r="H18" i="2"/>
  <c r="I18" i="2" s="1"/>
  <c r="H78" i="2"/>
  <c r="I78" i="2" s="1"/>
  <c r="H57" i="2"/>
  <c r="I57" i="2" s="1"/>
  <c r="H121" i="2"/>
  <c r="I121" i="2" s="1"/>
  <c r="H101" i="2"/>
  <c r="I101" i="2" s="1"/>
  <c r="H81" i="2"/>
  <c r="I81" i="2" s="1"/>
  <c r="H61" i="2"/>
  <c r="I61" i="2" s="1"/>
  <c r="H41" i="2"/>
  <c r="I41" i="2" s="1"/>
  <c r="H21" i="2"/>
  <c r="I21" i="2" s="1"/>
  <c r="H120" i="2"/>
  <c r="I120" i="2" s="1"/>
  <c r="H80" i="2"/>
  <c r="I80" i="2" s="1"/>
  <c r="H40" i="2"/>
  <c r="I40" i="2" s="1"/>
  <c r="H99" i="2"/>
  <c r="I99" i="2" s="1"/>
  <c r="H79" i="2"/>
  <c r="I79" i="2" s="1"/>
  <c r="H59" i="2"/>
  <c r="I59" i="2" s="1"/>
  <c r="H19" i="2"/>
  <c r="I19" i="2" s="1"/>
  <c r="H118" i="2"/>
  <c r="I118" i="2" s="1"/>
  <c r="H58" i="2"/>
  <c r="I58" i="2" s="1"/>
  <c r="H117" i="2"/>
  <c r="I117" i="2" s="1"/>
  <c r="H77" i="2"/>
  <c r="I77" i="2" s="1"/>
  <c r="H37" i="2"/>
  <c r="I37" i="2" s="1"/>
  <c r="A2" i="3"/>
  <c r="A1" i="3"/>
  <c r="B33" i="6" l="1"/>
  <c r="B32" i="6"/>
  <c r="B31" i="6"/>
  <c r="B30" i="6"/>
  <c r="B29" i="6"/>
  <c r="B28" i="6"/>
  <c r="B27" i="6"/>
  <c r="B26" i="6"/>
  <c r="B25" i="6"/>
  <c r="B24" i="6"/>
  <c r="H1" i="3"/>
  <c r="B6" i="6" l="1"/>
  <c r="B12" i="6"/>
  <c r="B13" i="6"/>
  <c r="B14" i="6"/>
  <c r="B8" i="6"/>
  <c r="B16" i="6"/>
  <c r="B15" i="6"/>
  <c r="B11" i="6"/>
  <c r="B10" i="6"/>
  <c r="B9" i="6"/>
  <c r="B4" i="6"/>
  <c r="B5" i="6"/>
  <c r="B7" i="6"/>
  <c r="E1" i="3"/>
  <c r="B34" i="6"/>
  <c r="N1" i="3"/>
  <c r="B23" i="6" l="1"/>
  <c r="B35" i="6" s="1"/>
  <c r="B17" i="6"/>
  <c r="B18" i="6"/>
  <c r="B1" i="4"/>
  <c r="B2" i="4"/>
  <c r="A2" i="1" a="1"/>
  <c r="A2" i="1" s="1"/>
  <c r="C4" i="6" l="1"/>
  <c r="E2" i="3" l="1"/>
  <c r="C5" i="6"/>
  <c r="C6" i="6"/>
  <c r="C17" i="6"/>
  <c r="C18" i="6"/>
  <c r="C8" i="6"/>
  <c r="C15" i="6"/>
  <c r="C9" i="6"/>
  <c r="C7" i="6"/>
  <c r="C10" i="6"/>
  <c r="C12" i="6"/>
  <c r="C14" i="6"/>
  <c r="C13" i="6"/>
  <c r="B19" i="6"/>
  <c r="C11" i="6"/>
  <c r="C16" i="6"/>
  <c r="H2" i="3"/>
  <c r="C24" i="6" l="1"/>
  <c r="C33" i="6"/>
  <c r="C23" i="6"/>
  <c r="C32" i="6"/>
  <c r="C31" i="6"/>
  <c r="C28" i="6"/>
  <c r="C27" i="6"/>
  <c r="C26" i="6"/>
  <c r="C30" i="6"/>
  <c r="C29" i="6"/>
  <c r="C25" i="6"/>
  <c r="C3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<sst xmlns="http://schemas.openxmlformats.org/spreadsheetml/2006/main" count="599" uniqueCount="114">
  <si>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</si>
  <si>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</si>
  <si>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</si>
  <si>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</si>
  <si>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</si>
  <si>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</si>
  <si>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</si>
  <si>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</si>
  <si>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</si>
  <si>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</si>
  <si>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</si>
  <si>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</si>
  <si>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</si>
  <si>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</si>
  <si>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</si>
  <si>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</si>
  <si>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</si>
  <si>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</si>
  <si>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</si>
  <si>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</si>
  <si>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</si>
  <si>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</si>
  <si>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</si>
  <si>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</si>
  <si>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</si>
  <si>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</si>
  <si>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</si>
  <si>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</si>
  <si>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</si>
  <si>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</si>
  <si>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Portfolio's Value</t>
  </si>
  <si>
    <t>Current Qty</t>
  </si>
  <si>
    <t>Breakeven</t>
  </si>
  <si>
    <t>Open PL</t>
  </si>
  <si>
    <t>Max Trade Price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</si>
  <si>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</si>
  <si>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</si>
  <si>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</si>
  <si>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</si>
  <si>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</si>
  <si>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</si>
  <si>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</si>
  <si>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</si>
  <si>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</si>
  <si>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</si>
  <si>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</si>
  <si>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</si>
  <si>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</si>
  <si>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</si>
  <si>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</si>
  <si>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</si>
  <si>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</si>
  <si>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</si>
  <si>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</si>
  <si>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</si>
  <si>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</si>
  <si>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</si>
  <si>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</si>
  <si>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</si>
  <si>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</si>
  <si>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</si>
  <si>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</si>
  <si>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</si>
  <si>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</si>
  <si>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</si>
  <si>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</si>
  <si>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</si>
  <si>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</si>
  <si>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</si>
  <si>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</si>
  <si>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</si>
  <si>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</si>
  <si>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</si>
  <si>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</si>
  <si>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</si>
  <si>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</si>
  <si>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</si>
  <si>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</si>
  <si>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</si>
  <si>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</si>
  <si>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</si>
  <si>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</si>
  <si>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</si>
  <si>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</si>
  <si>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</si>
  <si>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</si>
  <si>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</si>
  <si>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</si>
  <si>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</si>
  <si>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</si>
  <si>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TTE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</si>
  <si>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</si>
  <si>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</si>
  <si>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</si>
  <si>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</si>
  <si>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</si>
  <si>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</si>
  <si>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</si>
  <si>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</si>
  <si>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</si>
  <si>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</si>
  <si>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</si>
  <si>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 xml:space="preserve"> </t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</si>
  <si>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</si>
  <si>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Current Capital</t>
  </si>
  <si>
    <t>Total Capital</t>
  </si>
  <si>
    <t>Capital or Gain</t>
  </si>
  <si>
    <t>Capital &amp; Gain</t>
  </si>
  <si>
    <t>Capital or P&amp;L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</si>
  <si>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|Investment in Active Stock| / |Total Portfolio's Current Capital|</t>
    </r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</si>
  <si>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</si>
  <si>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MSFT</t>
  </si>
  <si>
    <t>Jan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</si>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</sst>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  <xf numFmtId="0" fontId="0" fillId="0" borderId="0" xfId="0" applyNumberFormat="1"/>
    <xf numFmtId="4" fontId="0" fillId="0" borderId="13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2.56</v>
        <stp/>
        <stp>LAST</stp>
        <stp>WIT</stp>
        <tr r="C65" s="3"/>
        <tr r="G123" s="2"/>
        <tr r="G122" s="2"/>
        <tr r="G121" s="2"/>
      </tp>
      <tp>
        <v>74.42</v>
        <stp/>
        <stp>LAST</stp>
        <stp>TTE</stp>
        <tr r="C61" s="3"/>
        <tr r="G114" s="2"/>
      </tp>
      <tp>
        <v>111.3</v>
        <stp/>
        <stp>LAST</stp>
        <stp>TGT</stp>
        <tr r="C58" s="3"/>
        <tr r="G108" s="2"/>
      </tp>
      <tp>
        <v>54.73</v>
        <stp/>
        <stp>LAST</stp>
        <stp>RAL</stp>
        <tr r="C48" s="3"/>
        <tr r="G86" s="2"/>
      </tp>
      <tp>
        <v>79.3</v>
        <stp/>
        <stp>LAST</stp>
        <stp>SQM</stp>
        <tr r="C54" s="3"/>
        <tr r="G97" s="2"/>
      </tp>
      <tp>
        <v>24.1</v>
        <stp/>
        <stp>LAST</stp>
        <stp>SFD</stp>
        <tr r="C51" s="3"/>
        <tr r="G94" s="2"/>
      </tp>
      <tp>
        <v>13</v>
        <stp/>
        <stp>LAST</stp>
        <stp>SGU</stp>
        <tr r="C52" s="3"/>
        <tr r="G95" s="2"/>
      </tp>
      <tp>
        <v>130.46</v>
        <stp/>
        <stp>LAST</stp>
        <stp>PHM</stp>
        <tr r="C47" s="3"/>
        <tr r="G84" s="2"/>
        <tr r="G85" s="2"/>
      </tp>
      <tp>
        <v>81.849999999999994</v>
        <stp/>
        <stp>LAST</stp>
        <stp>PDS</stp>
        <tr r="C46" s="3"/>
        <tr r="G83" s="2"/>
        <tr r="G82" s="2"/>
      </tp>
      <tp>
        <v>103.32</v>
        <stp/>
        <stp>LAST</stp>
        <stp>PDD</stp>
        <tr r="C45" s="3"/>
        <tr r="G81" s="2"/>
        <tr r="G80" s="2"/>
      </tp>
      <tp>
        <v>5.15</v>
        <stp/>
        <stp>LAST</stp>
        <stp>XYF</stp>
        <tr r="C66" s="3"/>
        <tr r="G125" s="2"/>
        <tr r="G124" s="2"/>
        <tr r="G126" s="2"/>
        <tr r="G128" s="2"/>
        <tr r="G127" s="2"/>
      </tp>
      <tp>
        <v>3.83</v>
        <stp/>
        <stp>LAST</stp>
        <stp>YRD</stp>
        <tr r="C68" s="3"/>
        <tr r="G131" s="2"/>
        <tr r="G130" s="2"/>
      </tp>
      <tp>
        <v>52.8</v>
        <stp/>
        <stp>LAST</stp>
        <stp>FHI</stp>
        <tr r="C26" s="3"/>
        <tr r="G36" s="2"/>
      </tp>
      <tp>
        <v>37.39</v>
        <stp/>
        <stp>LAST</stp>
        <stp>GSL</stp>
        <tr r="C32" s="3"/>
        <tr r="G52" s="2"/>
        <tr r="G51" s="2"/>
      </tp>
      <tp>
        <v>79.650000000000006</v>
        <stp/>
        <stp>LAST</stp>
        <stp>GIB</stp>
        <tr r="C29" s="3"/>
        <tr r="G42" s="2"/>
        <tr r="G43" s="2"/>
        <tr r="G41" s="2"/>
        <tr r="G40" s="2"/>
      </tp>
      <tp>
        <v>74.02</v>
        <stp/>
        <stp>LAST</stp>
        <stp>DOX</stp>
        <tr r="C25" s="3"/>
        <tr r="G35" s="2"/>
        <tr r="G34" s="2"/>
      </tp>
      <tp>
        <v>8.57</v>
        <stp/>
        <stp>LAST</stp>
        <stp>DDI</stp>
        <tr r="C24" s="3"/>
        <tr r="G33" s="2"/>
      </tp>
      <tp>
        <v>83</v>
        <stp/>
        <stp>LAST</stp>
        <stp>BYD</stp>
        <tr r="C14" s="3"/>
        <tr r="G17" s="2"/>
      </tp>
      <tp>
        <v>35.229999999999997</v>
        <stp/>
        <stp>LAST</stp>
        <stp>BTU</stp>
        <tr r="C13" s="3"/>
        <tr r="G16" s="2"/>
        <tr r="G15" s="2"/>
      </tp>
      <tp>
        <v>19.95</v>
        <stp/>
        <stp>LAST</stp>
        <stp>CVE</stp>
        <tr r="C23" s="3"/>
        <tr r="G32" s="2"/>
      </tp>
      <tp>
        <v>11.04</v>
        <stp/>
        <stp>LAST</stp>
        <stp>CHA</stp>
        <tr r="C16" s="3"/>
        <tr r="G20" s="2"/>
      </tp>
      <tp>
        <v>90.76</v>
        <stp/>
        <stp>LAST</stp>
        <stp>CNR</stp>
        <tr r="C19" s="3"/>
        <tr r="G24" s="2"/>
      </tp>
      <tp>
        <v>104.91</v>
        <stp/>
        <stp>LAST</stp>
        <stp>COP</stp>
        <tr r="C20" s="3"/>
        <tr r="G25" s="2"/>
      </tp>
      <tp>
        <v>184.32</v>
        <stp/>
        <stp>LAST</stp>
        <stp>AZN</stp>
        <tr r="C12" s="3"/>
        <tr r="G14" s="2"/>
      </tp>
      <tp>
        <v>59.06</v>
        <stp/>
        <stp>LAST</stp>
        <stp>ASO</stp>
        <tr r="C10" s="3"/>
        <tr r="G10" s="2"/>
      </tp>
      <tp>
        <v>241.21</v>
        <stp/>
        <stp>LAST</stp>
        <stp>ACN</stp>
        <tr r="C7" s="3"/>
        <tr r="G7" s="2"/>
      </tp>
      <tp>
        <v>24.02</v>
        <stp/>
        <stp>LAST</stp>
        <stp>AEO</stp>
        <tr r="C8" s="3"/>
        <tr r="G8" s="2"/>
      </tp>
      <tp>
        <v>119.85</v>
        <stp/>
        <stp>LAST</stp>
        <stp>NXT</stp>
        <tr r="C42" s="3"/>
        <tr r="G75" s="2"/>
      </tp>
      <tp>
        <v>44.11</v>
        <stp/>
        <stp>LAST</stp>
        <stp>OVV</stp>
        <tr r="C44" s="3"/>
        <tr r="G78" s="2"/>
        <tr r="G79" s="2"/>
      </tp>
      <tp>
        <v>21.19</v>
        <stp/>
        <stp>LAST</stp>
        <stp>MAT</stp>
        <tr r="C38" s="3"/>
        <tr r="G65" s="2"/>
      </tp>
      <tp>
        <v>107.86</v>
        <stp/>
        <stp>LAST</stp>
        <stp>KOF</stp>
        <tr r="C36" s="3"/>
        <tr r="G63" s="2"/>
      </tp>
      <tp>
        <v>48.87</v>
        <stp/>
        <stp>LAST</stp>
        <stp>HNI</stp>
        <tr r="C35" s="3"/>
        <tr r="G62" s="2"/>
      </tp>
      <tp>
        <v>124.58</v>
        <stp/>
        <stp>LAST</stp>
        <stp>CRUS</stp>
        <tr r="C21" s="3"/>
        <tr r="G26" s="2"/>
      </tp>
      <tp>
        <v>411.21</v>
        <stp/>
        <stp>LAST</stp>
        <stp>MSFT</stp>
        <tr r="G72" s="2"/>
        <tr r="G71" s="2"/>
        <tr r="C40" s="3"/>
      </tp>
      <tp>
        <v>5.78</v>
        <stp/>
        <stp>LAST</stp>
        <stp>TPVG</stp>
        <tr r="C60" s="3"/>
        <tr r="G112" s="2"/>
        <tr r="G113" s="2"/>
      </tp>
      <tp>
        <v>8.9600000000000009</v>
        <stp/>
        <stp>LAST</stp>
        <stp>RWAY</stp>
        <tr r="C49" s="3"/>
        <tr r="G89" s="2"/>
        <tr r="G88" s="2"/>
        <tr r="G90" s="2"/>
        <tr r="G87" s="2"/>
      </tp>
      <tp>
        <v>74.5</v>
        <stp/>
        <stp>LAST</stp>
        <stp>CTSH</stp>
        <tr r="C22" s="3"/>
        <tr r="G28" s="2"/>
        <tr r="G27" s="2"/>
        <tr r="G31" s="2"/>
        <tr r="G30" s="2"/>
        <tr r="G29" s="2"/>
      </tp>
      <tp>
        <v>64.97</v>
        <stp/>
        <stp>LAST</stp>
        <stp>STNG</stp>
        <tr r="C55" s="3"/>
        <tr r="G98" s="2"/>
      </tp>
      <tp>
        <v>69.89</v>
        <stp/>
        <stp>LAST</stp>
        <stp>ATKR</stp>
        <tr r="C11" s="3"/>
        <tr r="G12" s="2"/>
        <tr r="G13" s="2"/>
        <tr r="G11" s="2"/>
      </tp>
      <tp>
        <v>50.74</v>
        <stp/>
        <stp>LAST</stp>
        <stp>YUMC</stp>
        <tr r="C69" s="3"/>
        <tr r="G133" s="2"/>
        <tr r="G132" s="2"/>
      </tp>
      <tp>
        <v>97.42</v>
        <stp/>
        <stp>LAST</stp>
        <stp>CHRD</stp>
        <tr r="C17" s="3"/>
        <tr r="G22" s="2"/>
        <tr r="G21" s="2"/>
      </tp>
      <tp>
        <v>27.38</v>
        <stp/>
        <stp>LAST</stp>
        <stp>CIVI</stp>
        <tr r="C18" s="3"/>
        <tr r="G23" s="2"/>
      </tp>
      <tp>
        <v>6.28</v>
        <stp/>
        <stp>LAST</stp>
        <stp>SITC</stp>
        <tr r="C53" s="3"/>
        <tr r="G96" s="2"/>
      </tp>
      <tp>
        <v>17.170000000000002</v>
        <stp/>
        <stp>LAST</stp>
        <stp>VIPS</stp>
        <tr r="C64" s="3"/>
        <tr r="G118" s="2"/>
        <tr r="G120" s="2"/>
        <tr r="G119" s="2"/>
      </tp>
      <tp>
        <v>28.05</v>
        <stp/>
        <stp>LAST</stp>
        <stp>VICI</stp>
        <tr r="C63" s="3"/>
        <tr r="G116" s="2"/>
        <tr r="G117" s="2"/>
      </tp>
      <tp>
        <v>5.0199999999999996</v>
        <stp/>
        <stp>LAST</stp>
        <stp>FINV</stp>
        <tr r="C27" s="3"/>
        <tr r="G38" s="2"/>
        <tr r="G37" s="2"/>
      </tp>
      <tp>
        <v>30</v>
        <stp/>
        <stp>LAST</stp>
        <stp>GIII</stp>
        <tr r="C30" s="3"/>
        <tr r="G44" s="2"/>
        <tr r="G45" s="2"/>
        <tr r="G46" s="2"/>
        <tr r="G48" s="2"/>
        <tr r="G47" s="2"/>
      </tp>
      <tp>
        <v>6.49</v>
        <stp/>
        <stp>LAST</stp>
        <stp>MOMO</stp>
        <tr r="C39" s="3"/>
        <tr r="G70" s="2"/>
        <tr r="G69" s="2"/>
        <tr r="G68" s="2"/>
        <tr r="G66" s="2"/>
        <tr r="G67" s="2"/>
      </tp>
      <tp>
        <v>0.99504999999999999</v>
        <stp/>
        <stp>LAST</stp>
        <stp>AMTD</stp>
        <tr r="C9" s="3"/>
        <tr r="G9" s="2"/>
      </tp>
      <tp>
        <v>33.03</v>
        <stp/>
        <stp>LAST</stp>
        <stp>GMAB</stp>
        <tr r="C31" s="3"/>
        <tr r="G50" s="2"/>
        <tr r="G49" s="2"/>
      </tp>
      <tp>
        <v>63.57</v>
        <stp/>
        <stp>LAST</stp>
        <stp>TMHC</stp>
        <tr r="C59" s="3"/>
        <tr r="G111" s="2"/>
        <tr r="G109" s="2"/>
        <tr r="G110" s="2"/>
      </tp>
      <tp>
        <v>38.72</v>
        <stp/>
        <stp>LAST</stp>
        <stp>NMIH</stp>
        <tr r="C41" s="3"/>
        <tr r="G74" s="2"/>
        <tr r="G73" s="2"/>
      </tp>
      <tp>
        <v>2.9</v>
        <stp/>
        <stp>LAST</stp>
        <stp>ABEV</stp>
        <tr r="C5" s="3"/>
        <tr r="G2" s="2"/>
        <tr r="G5" s="2"/>
        <tr r="G4" s="2"/>
        <tr r="G3" s="2"/>
      </tp>
      <tp>
        <v>19.73</v>
        <stp/>
        <stp>LAST</stp>
        <stp>SCVL</stp>
        <tr r="C50" s="3"/>
        <tr r="G92" s="2"/>
        <tr r="G93" s="2"/>
        <tr r="G91" s="2"/>
      </tp>
      <tp>
        <v>69</v>
        <stp/>
        <stp>LAST</stp>
        <stp>VCTR</stp>
        <tr r="C62" s="3"/>
        <tr r="G115" s="2"/>
      </tp>
      <tp>
        <v>9</v>
        <stp/>
        <stp>LAST</stp>
        <stp>CCRN</stp>
        <tr r="C15" s="3"/>
        <tr r="G18" s="2"/>
        <tr r="G19" s="2"/>
      </tp>
      <tp>
        <v>84.37</v>
        <stp/>
        <stp>LAST</stp>
        <stp>ACLS</stp>
        <tr r="C6" s="3"/>
        <tr r="G6" s="2"/>
      </tp>
      <tp>
        <v>6.2</v>
        <stp/>
        <stp>LAST</stp>
        <stp>HAFN</stp>
        <tr r="C33" s="3"/>
        <tr r="G56" s="2"/>
        <tr r="G55" s="2"/>
        <tr r="G54" s="2"/>
        <tr r="G58" s="2"/>
        <tr r="G53" s="2"/>
        <tr r="G57" s="2"/>
      </tp>
      <tp>
        <v>6.87</v>
        <stp/>
        <stp>LAST</stp>
        <stp>YALA</stp>
        <tr r="C67" s="3"/>
        <tr r="G129" s="2"/>
      </tp>
      <tp>
        <v>18.809999999999999</v>
        <stp/>
        <stp>LAST</stp>
        <stp>TGNA</stp>
        <tr r="C57" s="3"/>
        <tr r="G106" s="2"/>
        <tr r="G105" s="2"/>
        <tr r="G103" s="2"/>
        <tr r="G104" s="2"/>
        <tr r="G102" s="2"/>
        <tr r="G101" s="2"/>
        <tr r="G107" s="2"/>
      </tp>
      <tp>
        <v>53.46</v>
        <stp/>
        <stp>LAST</stp>
        <stp>SU</stp>
        <tr r="C56" s="3"/>
        <tr r="G99" s="2"/>
        <tr r="G100" s="2"/>
      </tp>
      <tp>
        <v>88.73</v>
        <stp/>
        <stp>LAST</stp>
        <stp>ZM</stp>
        <tr r="C70" s="3"/>
        <tr r="G136" s="2"/>
        <tr r="G135" s="2"/>
        <tr r="G134" s="2"/>
      </tp>
      <tp>
        <v>59.43</v>
        <stp/>
        <stp>LAST</stp>
        <stp>ON</stp>
        <tr r="C43" s="3"/>
        <tr r="G76" s="2"/>
        <tr r="G77" s="2"/>
      </tp>
      <tp>
        <v>2.7</v>
        <stp/>
        <stp>LAST</stp>
        <stp>LX</stp>
        <tr r="C37" s="3"/>
        <tr r="G64" s="2"/>
      </tp>
      <tp>
        <v>27.86</v>
        <stp/>
        <stp>LAST</stp>
        <stp>HG</stp>
        <tr r="C34" s="3"/>
        <tr r="G61" s="2"/>
        <tr r="G60" s="2"/>
        <tr r="G59" s="2"/>
      </tp>
      <tp>
        <v>38.97</v>
        <stp/>
        <stp>LAST</stp>
        <stp>G</stp>
        <tr r="C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15877</xdr:colOff>
      <xdr:row>0</xdr:row>
      <xdr:rowOff>7938</xdr:rowOff>
    </xdr:from>
    <xdr:to>
      <xdr:col>17</xdr:col>
      <xdr:colOff>7938</xdr:colOff>
      <xdr:row>2</xdr:row>
      <xdr:rowOff>71439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3009565" y="7938"/>
          <a:ext cx="1682748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63905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63905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9</xdr:col>
      <xdr:colOff>0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19100"/>
              <a:ext cx="404812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9</xdr:col>
      <xdr:colOff>0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4048125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56.748312847223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2">
        <s v="2024"/>
        <s v="2025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56.748312962962" createdVersion="8" refreshedVersion="8" minRefreshableVersion="3" recordCount="135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1-22T10:32:26" count="168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8-05T09:30:21"/>
        <d v="2025-05-29T10:10:12"/>
        <d v="2025-04-03T10:39:44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9-02T09:30:02"/>
        <d v="2025-06-02T07:00:00"/>
        <d v="2025-08-05T09:30:02"/>
        <d v="2025-03-31T09:25:00"/>
        <d v="2025-07-02T09:30:00"/>
        <d v="2025-04-07T07:00:00"/>
        <d v="2025-03-24T15:13:30"/>
        <d v="2025-06-02T07:00:08"/>
        <d v="2025-04-04T07:23:44"/>
        <d v="2025-06-30T09:29:52"/>
        <d v="2025-06-02T09:30:00"/>
        <d v="2025-08-05T09:30:01"/>
        <d v="2025-10-07T09:30:01"/>
        <d v="2025-04-07T07:00:01"/>
        <d v="2025-05-29T10:16:59"/>
        <d v="2025-04-04T07:00:00"/>
        <d v="2025-09-02T09:30:00"/>
        <d v="2025-03-31T07:00:00"/>
        <d v="2025-03-04T09:31:42"/>
        <d v="2024-11-12T09:57:10"/>
        <d v="2025-05-29T16:03:14"/>
        <d v="2025-06-03T09:32:01"/>
        <d v="2025-07-02T09:59:19"/>
        <d v="2025-03-24T07:00:09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9:25:32"/>
        <d v="2025-01-06T07:11:05"/>
        <d v="2025-01-06T07:13:36"/>
        <d v="2025-01-06T07:25:34"/>
        <d v="2025-01-06T07:13:59"/>
        <d v="2025-01-06T09:30:00"/>
        <d v="2025-10-07T09:30:00"/>
        <d v="2025-09-02T09:30:01"/>
        <d v="2025-04-07T09:30:00"/>
        <d v="2025-03-28T10:36:46"/>
        <d v="2025-05-30T09:35:35"/>
        <d v="2025-04-04T07:26:56"/>
        <d v="2025-05-07T14:10:26"/>
        <d v="2025-06-02T09:30:32"/>
        <d v="2024-12-10T12:00:02"/>
        <d v="2025-02-12T18:45:05"/>
        <d v="2025-06-02T07:00:01"/>
        <d v="2025-09-02T09:30:04"/>
        <d v="2025-06-02T09:30:08"/>
        <d v="2025-03-31T07:00:01"/>
        <d v="2025-06-02T08:59:54"/>
        <d v="2025-06-02T09:32:00"/>
        <d v="2025-05-30T09:05:46"/>
        <d v="2025-04-03T10:01:40"/>
        <d v="2025-05-05T07:00:01"/>
        <d v="2025-07-02T09:31:07"/>
        <d v="2024-10-15T09:29:51"/>
        <d v="2025-07-07T14:19:30"/>
        <d v="2025-05-05T11:00:37"/>
        <d v="2025-05-30T12:31:07"/>
        <d v="2025-04-04T07:07:01"/>
        <d v="2025-07-02T09:30:01"/>
        <d v="2025-07-02T10:02:18"/>
        <d v="2025-10-07T09:33:11"/>
        <d v="2025-04-04T12:22:28"/>
        <d v="2025-05-05T09:31:18"/>
        <d v="2025-09-02T09:30:06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5-02-07T11:03:45" u="1"/>
        <d v="2025-03-04T10:04:19" u="1"/>
        <d v="2025-03-04T10:05:22" u="1"/>
        <d v="2025-04-04T07:00:43" u="1"/>
        <d v="2025-06-09T11:14:43" u="1"/>
        <d v="2025-03-04T10:14:59" u="1"/>
        <d v="2025-12-09T09:30:00" u="1"/>
        <d v="2026-01-07T09:30:03" u="1"/>
        <d v="2026-01-06T09:30:04" u="1"/>
        <d v="2025-12-01T09:30:01" u="1"/>
        <d v="2026-01-13T09:30:00" u="1"/>
        <d v="2026-01-15T09:30:00" u="1"/>
        <d v="2025-11-26T09:31:37" u="1"/>
        <d v="2025-12-29T07:26:18" u="1"/>
        <d v="2025-12-29T07:15:01" u="1"/>
        <d v="2025-12-29T08:48:30" u="1"/>
        <d v="2025-12-29T07:00:10" u="1"/>
        <d v="2025-11-26T09:30:01" u="1"/>
        <d v="2026-01-06T11:30:27" u="1"/>
        <d v="2026-01-06T11:30:04" u="1"/>
        <d v="2026-01-06T09:30:01" u="1"/>
        <d v="2025-12-01T09:30:03" u="1"/>
        <d v="2026-01-15T09:30:02" u="1"/>
        <d v="2026-01-12T09:37:09" u="1"/>
        <d v="2026-01-16T09:30:02" u="1"/>
        <d v="2026-01-07T10:08:07" u="1"/>
        <d v="2025-12-23T09:30:01" u="1"/>
        <d v="2025-12-22T09:30:07" u="1"/>
        <d v="2025-11-19T09:30:02" u="1"/>
        <d v="2026-01-22T10:32:26" u="1"/>
        <d v="2025-12-17T11:36:44" u="1"/>
        <d v="2025-12-23T09:30:00" u="1"/>
        <d v="2025-12-31T07:00:00" u="1"/>
        <d v="2025-12-31T07:00:15" u="1"/>
        <d v="2025-11-26T09:30:00" u="1"/>
        <d v="2025-12-15T09:30:02" u="1"/>
        <d v="2025-12-24T09:30:00" u="1"/>
        <d v="2025-11-24T09:30:01" u="1"/>
        <d v="2026-01-08T09:30:00" u="1"/>
        <d v="2026-01-06T10:08:12" u="1"/>
        <d v="2025-12-17T11:25:54" u="1"/>
        <d v="2026-01-07T09:30:01" u="1"/>
        <d v="2025-12-01T09:30:02" u="1"/>
        <d v="2025-12-29T07:00:01" u="1"/>
        <d v="2025-12-24T09:30:02" u="1"/>
        <d v="2025-12-19T09:30:00" u="1"/>
        <d v="2026-01-08T11:56:28" u="1"/>
        <d v="2026-01-12T09:30:01" u="1"/>
        <d v="2026-01-08T09:30:01" u="1"/>
        <d v="2026-01-06T09:30:00" u="1"/>
        <d v="2025-12-01T09:30:00" u="1"/>
        <d v="2026-01-06T09:30:03" u="1"/>
        <d v="2026-01-06T09:30:02" u="1"/>
        <d v="2026-01-05T09:35:02" u="1"/>
        <d v="2026-01-05T09:31:16" u="1"/>
        <d v="2026-01-13T09:30:02" u="1"/>
        <d v="2025-12-22T09:39:09" u="1"/>
        <d v="2026-01-16T09:30:00" u="1"/>
        <d v="2025-12-30T11:24:01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16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BCL" u="1"/>
        <s v="ACHR" u="1"/>
        <s v="AEVA" u="1"/>
        <s v="AMLX" u="1"/>
        <s v="AVAH" u="1"/>
        <s v="BBAI" u="1"/>
        <s v="BCRX" u="1"/>
        <s v="BKSY" u="1"/>
        <s v="BULL" u="1"/>
        <s v="CC" u="1"/>
        <s v="CIFR" u="1"/>
        <s v="CLOV" u="1"/>
        <s v="CLVT" u="1"/>
        <s v="CMPX" u="1"/>
        <s v="CRGY" u="1"/>
        <s v="DAO" u="1"/>
        <s v="DNN" u="1"/>
        <s v="DXCM" u="1"/>
        <s v="ENVX" u="1"/>
        <s v="EVLV" u="1"/>
        <s v="GEN" u="1"/>
        <s v="GPK" u="1"/>
        <s v="HTZ" u="1"/>
        <s v="ICE" u="1"/>
        <s v="IMSR" u="1"/>
        <s v="LCID" u="1"/>
        <s v="LPTH" u="1"/>
        <s v="LUMN" u="1"/>
        <s v="NB" u="1"/>
        <s v="NFGC" u="1"/>
        <s v="OGN" u="1"/>
        <s v="PCT" u="1"/>
        <s v="PLUG" u="1"/>
        <s v="PRCH" u="1"/>
        <s v="PTON" u="1"/>
        <s v="PTRN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5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9504999999999999" maxValue="411.21"/>
    </cacheField>
    <cacheField name="Open P&amp;L" numFmtId="2">
      <sharedItems containsMixedTypes="1" containsNumber="1" minValue="-729.74999999999989" maxValue="1390.4999999999998"/>
    </cacheField>
    <cacheField name="Realized  P&amp;L" numFmtId="2">
      <sharedItems containsMixedTypes="1" containsNumber="1" minValue="-142.5" maxValue="1002"/>
    </cacheField>
    <cacheField name="Months (Exec Time)" numFmtId="0" databaseField="0">
      <fieldGroup base="0">
        <rangePr groupBy="months" startDate="2024-10-09T07:00:00" endDate="2025-10-07T09:33:11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7/2025"/>
        </groupItems>
      </fieldGroup>
    </cacheField>
    <cacheField name="Years (Exec Time)" numFmtId="0" databaseField="0">
      <fieldGroup base="0">
        <rangePr groupBy="years" startDate="2024-10-09T07:00:00" endDate="2025-10-07T09:33:11"/>
        <groupItems count="4">
          <s v="&lt;10/9/2024"/>
          <s v="2024"/>
          <s v="2025"/>
          <s v="&gt;10/7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n v="205"/>
    <n v="2.44"/>
    <n v="-500.2"/>
    <n v="2.398963855421687"/>
    <n v="2.9"/>
    <n v="415.85999999999973"/>
    <s v=""/>
  </r>
  <r>
    <x v="1"/>
    <x v="0"/>
    <n v="200"/>
    <n v="2.4897"/>
    <n v="-497.94"/>
    <n v="2.398963855421687"/>
    <n v="2.9"/>
    <n v="415.85999999999973"/>
    <s v=""/>
  </r>
  <r>
    <x v="2"/>
    <x v="0"/>
    <n v="200"/>
    <n v="2.4900000000000002"/>
    <n v="-498.00000000000006"/>
    <n v="2.398963855421687"/>
    <n v="2.9"/>
    <n v="415.85999999999973"/>
    <s v=""/>
  </r>
  <r>
    <x v="3"/>
    <x v="0"/>
    <n v="225"/>
    <n v="2.2000000000000002"/>
    <n v="-495.00000000000006"/>
    <n v="2.398963855421687"/>
    <n v="2.9"/>
    <n v="415.85999999999973"/>
    <s v=""/>
  </r>
  <r>
    <x v="4"/>
    <x v="1"/>
    <n v="5"/>
    <n v="80"/>
    <n v="-400"/>
    <n v="80"/>
    <n v="84.37"/>
    <n v="21.850000000000023"/>
    <s v=""/>
  </r>
  <r>
    <x v="5"/>
    <x v="2"/>
    <n v="5"/>
    <n v="249.13"/>
    <n v="-1245.6500000000001"/>
    <n v="249.13000000000002"/>
    <n v="241.21"/>
    <n v="-39.60000000000008"/>
    <s v=""/>
  </r>
  <r>
    <x v="6"/>
    <x v="3"/>
    <n v="50"/>
    <n v="10.42"/>
    <n v="-521"/>
    <n v="10.42"/>
    <n v="24.02"/>
    <n v="680"/>
    <s v=""/>
  </r>
  <r>
    <x v="7"/>
    <x v="4"/>
    <n v="375"/>
    <n v="1.33"/>
    <n v="-498.75"/>
    <n v="1.33"/>
    <n v="0.99504999999999999"/>
    <n v="-125.60625000000003"/>
    <s v=""/>
  </r>
  <r>
    <x v="8"/>
    <x v="5"/>
    <n v="10"/>
    <n v="38.950000000000003"/>
    <n v="-389.5"/>
    <n v="38.950000000000003"/>
    <n v="59.06"/>
    <n v="201.1"/>
    <s v=""/>
  </r>
  <r>
    <x v="9"/>
    <x v="6"/>
    <n v="5"/>
    <n v="70"/>
    <n v="-350"/>
    <n v="61.995000000000005"/>
    <n v="69.89"/>
    <n v="157.89999999999992"/>
    <s v=""/>
  </r>
  <r>
    <x v="10"/>
    <x v="6"/>
    <n v="5"/>
    <n v="65.98"/>
    <n v="-329.90000000000003"/>
    <n v="61.995000000000005"/>
    <n v="69.89"/>
    <n v="157.89999999999992"/>
    <s v=""/>
  </r>
  <r>
    <x v="11"/>
    <x v="6"/>
    <n v="10"/>
    <n v="56"/>
    <n v="-560"/>
    <n v="61.995000000000005"/>
    <n v="69.89"/>
    <n v="157.89999999999992"/>
    <s v=""/>
  </r>
  <r>
    <x v="12"/>
    <x v="7"/>
    <n v="5"/>
    <n v="70.62"/>
    <n v="-353.1"/>
    <n v="70.62"/>
    <n v="184.32"/>
    <n v="568.5"/>
    <s v=""/>
  </r>
  <r>
    <x v="13"/>
    <x v="8"/>
    <n v="25"/>
    <n v="20.23"/>
    <n v="-505.75"/>
    <n v="16.690000000000001"/>
    <n v="35.229999999999997"/>
    <n v="1390.4999999999998"/>
    <s v=""/>
  </r>
  <r>
    <x v="14"/>
    <x v="8"/>
    <n v="50"/>
    <n v="14.92"/>
    <n v="-746"/>
    <n v="16.690000000000001"/>
    <n v="35.229999999999997"/>
    <n v="1390.4999999999998"/>
    <s v=""/>
  </r>
  <r>
    <x v="15"/>
    <x v="9"/>
    <n v="5"/>
    <n v="69.83"/>
    <n v="-349.15"/>
    <n v="69.83"/>
    <n v="83"/>
    <n v="65.850000000000009"/>
    <s v=""/>
  </r>
  <r>
    <x v="16"/>
    <x v="10"/>
    <n v="-40"/>
    <n v="17.9404"/>
    <n v="717.61599999999999"/>
    <s v=""/>
    <n v="9"/>
    <s v=""/>
    <n v="717.61599999999999"/>
  </r>
  <r>
    <x v="17"/>
    <x v="10"/>
    <n v="40"/>
    <n v="12.5"/>
    <n v="-500"/>
    <s v=""/>
    <n v="9"/>
    <s v=""/>
    <s v=""/>
  </r>
  <r>
    <x v="18"/>
    <x v="11"/>
    <n v="25"/>
    <n v="19"/>
    <n v="-475"/>
    <n v="19"/>
    <n v="11.04"/>
    <n v="-199.00000000000003"/>
    <s v=""/>
  </r>
  <r>
    <x v="19"/>
    <x v="12"/>
    <n v="5"/>
    <n v="90"/>
    <n v="-450"/>
    <n v="98.75"/>
    <n v="97.42"/>
    <n v="-13.299999999999983"/>
    <s v=""/>
  </r>
  <r>
    <x v="20"/>
    <x v="12"/>
    <n v="5"/>
    <n v="107.5"/>
    <n v="-537.5"/>
    <n v="98.75"/>
    <n v="97.42"/>
    <n v="-13.299999999999983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90.76"/>
    <n v="83.800000000000026"/>
    <s v=""/>
  </r>
  <r>
    <x v="22"/>
    <x v="15"/>
    <n v="5"/>
    <n v="89.69"/>
    <n v="-448.45"/>
    <n v="89.69"/>
    <n v="104.91"/>
    <n v="76.099999999999994"/>
    <s v=""/>
  </r>
  <r>
    <x v="23"/>
    <x v="16"/>
    <n v="5"/>
    <n v="100"/>
    <n v="-500"/>
    <n v="100"/>
    <n v="124.58"/>
    <n v="122.89999999999999"/>
    <s v=""/>
  </r>
  <r>
    <x v="24"/>
    <x v="17"/>
    <n v="5"/>
    <n v="71.489999999999995"/>
    <n v="-357.45"/>
    <n v="75.804000000000002"/>
    <n v="74.5"/>
    <n v="-32.600000000000051"/>
    <s v=""/>
  </r>
  <r>
    <x v="25"/>
    <x v="17"/>
    <n v="5"/>
    <n v="80.97"/>
    <n v="-404.85"/>
    <n v="75.804000000000002"/>
    <n v="74.5"/>
    <n v="-32.600000000000051"/>
    <s v=""/>
  </r>
  <r>
    <x v="26"/>
    <x v="17"/>
    <n v="5"/>
    <n v="71.260000000000005"/>
    <n v="-356.3"/>
    <n v="75.804000000000002"/>
    <n v="74.5"/>
    <n v="-32.600000000000051"/>
    <s v=""/>
  </r>
  <r>
    <x v="27"/>
    <x v="17"/>
    <n v="5"/>
    <n v="75"/>
    <n v="-375"/>
    <n v="75.804000000000002"/>
    <n v="74.5"/>
    <n v="-32.600000000000051"/>
    <s v=""/>
  </r>
  <r>
    <x v="28"/>
    <x v="17"/>
    <n v="5"/>
    <n v="80.3"/>
    <n v="-401.5"/>
    <n v="75.804000000000002"/>
    <n v="74.5"/>
    <n v="-32.600000000000051"/>
    <s v=""/>
  </r>
  <r>
    <x v="29"/>
    <x v="18"/>
    <n v="45"/>
    <n v="10.84"/>
    <n v="-487.8"/>
    <n v="10.84"/>
    <n v="19.95"/>
    <n v="409.95"/>
    <s v=""/>
  </r>
  <r>
    <x v="30"/>
    <x v="19"/>
    <n v="50"/>
    <n v="10.050000000000001"/>
    <n v="-502.50000000000006"/>
    <n v="10.050000000000001"/>
    <n v="8.57"/>
    <n v="-74.000000000000028"/>
    <s v=""/>
  </r>
  <r>
    <x v="31"/>
    <x v="20"/>
    <n v="5"/>
    <n v="91.76"/>
    <n v="-458.8"/>
    <n v="88.13"/>
    <n v="74.02"/>
    <n v="-141.1"/>
    <s v=""/>
  </r>
  <r>
    <x v="32"/>
    <x v="20"/>
    <n v="5"/>
    <n v="84.5"/>
    <n v="-422.5"/>
    <n v="88.13"/>
    <n v="74.02"/>
    <n v="-141.1"/>
    <s v=""/>
  </r>
  <r>
    <x v="33"/>
    <x v="21"/>
    <n v="10"/>
    <n v="44.5"/>
    <n v="-445"/>
    <n v="44.5"/>
    <n v="52.8"/>
    <n v="82.999999999999972"/>
    <s v=""/>
  </r>
  <r>
    <x v="34"/>
    <x v="22"/>
    <n v="10"/>
    <n v="8.36"/>
    <n v="-83.6"/>
    <n v="8.3600000000000012"/>
    <n v="5.0199999999999996"/>
    <n v="-200.40000000000009"/>
    <s v=""/>
  </r>
  <r>
    <x v="34"/>
    <x v="22"/>
    <n v="50"/>
    <n v="8.36"/>
    <n v="-418"/>
    <n v="8.3600000000000012"/>
    <n v="5.0199999999999996"/>
    <n v="-200.40000000000009"/>
    <s v=""/>
  </r>
  <r>
    <x v="5"/>
    <x v="23"/>
    <n v="10"/>
    <n v="41.15"/>
    <n v="-411.5"/>
    <n v="41.15"/>
    <n v="38.97"/>
    <n v="-21.799999999999997"/>
    <s v=""/>
  </r>
  <r>
    <x v="35"/>
    <x v="24"/>
    <n v="5"/>
    <n v="96.75"/>
    <n v="-483.75"/>
    <n v="94.537499999999994"/>
    <n v="79.650000000000006"/>
    <n v="-297.74999999999977"/>
    <s v=""/>
  </r>
  <r>
    <x v="36"/>
    <x v="24"/>
    <n v="5"/>
    <n v="91.34"/>
    <n v="-456.70000000000005"/>
    <n v="94.537499999999994"/>
    <n v="79.650000000000006"/>
    <n v="-297.74999999999977"/>
    <s v=""/>
  </r>
  <r>
    <x v="37"/>
    <x v="24"/>
    <n v="5"/>
    <n v="93.8"/>
    <n v="-469"/>
    <n v="94.537499999999994"/>
    <n v="79.650000000000006"/>
    <n v="-297.74999999999977"/>
    <s v=""/>
  </r>
  <r>
    <x v="24"/>
    <x v="24"/>
    <n v="5"/>
    <n v="96.26"/>
    <n v="-481.3"/>
    <n v="94.537499999999994"/>
    <n v="79.650000000000006"/>
    <n v="-297.74999999999977"/>
    <s v=""/>
  </r>
  <r>
    <x v="26"/>
    <x v="25"/>
    <n v="20"/>
    <n v="24.28"/>
    <n v="-485.6"/>
    <n v="26.40444444444444"/>
    <n v="30"/>
    <n v="323.60000000000036"/>
    <s v=""/>
  </r>
  <r>
    <x v="24"/>
    <x v="25"/>
    <n v="20"/>
    <n v="26.89"/>
    <n v="-537.79999999999995"/>
    <n v="26.40444444444444"/>
    <n v="30"/>
    <n v="323.60000000000036"/>
    <s v=""/>
  </r>
  <r>
    <x v="38"/>
    <x v="25"/>
    <n v="15"/>
    <n v="28.28"/>
    <n v="-424.20000000000005"/>
    <n v="26.40444444444444"/>
    <n v="30"/>
    <n v="323.60000000000036"/>
    <s v=""/>
  </r>
  <r>
    <x v="25"/>
    <x v="25"/>
    <n v="15"/>
    <n v="29.04"/>
    <n v="-435.59999999999997"/>
    <n v="26.40444444444444"/>
    <n v="30"/>
    <n v="323.60000000000036"/>
    <s v=""/>
  </r>
  <r>
    <x v="39"/>
    <x v="25"/>
    <n v="20"/>
    <n v="24.66"/>
    <n v="-493.2"/>
    <n v="26.40444444444444"/>
    <n v="30"/>
    <n v="323.60000000000036"/>
    <s v=""/>
  </r>
  <r>
    <x v="40"/>
    <x v="26"/>
    <n v="20"/>
    <n v="25.79"/>
    <n v="-515.79999999999995"/>
    <n v="22.228888888888889"/>
    <n v="33.03"/>
    <n v="486.05000000000007"/>
    <s v=""/>
  </r>
  <r>
    <x v="41"/>
    <x v="26"/>
    <n v="25"/>
    <n v="19.38"/>
    <n v="-484.5"/>
    <n v="22.228888888888889"/>
    <n v="33.03"/>
    <n v="486.05000000000007"/>
    <s v=""/>
  </r>
  <r>
    <x v="42"/>
    <x v="27"/>
    <n v="25"/>
    <n v="21"/>
    <n v="-525"/>
    <n v="22.004444444444445"/>
    <n v="37.39"/>
    <n v="692.35"/>
    <s v=""/>
  </r>
  <r>
    <x v="43"/>
    <x v="27"/>
    <n v="20"/>
    <n v="23.26"/>
    <n v="-465.20000000000005"/>
    <n v="22.004444444444445"/>
    <n v="37.39"/>
    <n v="692.35"/>
    <s v=""/>
  </r>
  <r>
    <x v="44"/>
    <x v="28"/>
    <n v="100"/>
    <n v="5"/>
    <n v="-500"/>
    <n v="5.1386556521739131"/>
    <n v="6.2"/>
    <n v="610.27300000000014"/>
    <s v=""/>
  </r>
  <r>
    <x v="45"/>
    <x v="28"/>
    <n v="100"/>
    <n v="5"/>
    <n v="-500"/>
    <n v="5.1386556521739131"/>
    <n v="6.2"/>
    <n v="610.27300000000014"/>
    <s v=""/>
  </r>
  <r>
    <x v="46"/>
    <x v="28"/>
    <n v="100"/>
    <n v="4.99"/>
    <n v="-499"/>
    <n v="5.1386556521739131"/>
    <n v="6.2"/>
    <n v="610.27300000000014"/>
    <s v=""/>
  </r>
  <r>
    <x v="47"/>
    <x v="28"/>
    <n v="115"/>
    <n v="4.3498000000000001"/>
    <n v="-500.22700000000003"/>
    <n v="5.1386556521739131"/>
    <n v="6.2"/>
    <n v="610.27300000000014"/>
    <s v=""/>
  </r>
  <r>
    <x v="24"/>
    <x v="28"/>
    <n v="75"/>
    <n v="6.11"/>
    <n v="-458.25"/>
    <n v="5.1386556521739131"/>
    <n v="6.2"/>
    <n v="610.27300000000014"/>
    <s v=""/>
  </r>
  <r>
    <x v="4"/>
    <x v="28"/>
    <n v="85"/>
    <n v="5.85"/>
    <n v="-497.24999999999994"/>
    <n v="5.1386556521739131"/>
    <n v="6.2"/>
    <n v="610.27300000000014"/>
    <s v=""/>
  </r>
  <r>
    <x v="48"/>
    <x v="29"/>
    <n v="25"/>
    <n v="17.809999999999999"/>
    <n v="-445.24999999999994"/>
    <n v="19.813333333333333"/>
    <n v="27.86"/>
    <n v="603.5"/>
    <s v=""/>
  </r>
  <r>
    <x v="49"/>
    <x v="29"/>
    <n v="25"/>
    <n v="21"/>
    <n v="-525"/>
    <n v="19.813333333333333"/>
    <n v="27.86"/>
    <n v="603.5"/>
    <s v=""/>
  </r>
  <r>
    <x v="50"/>
    <x v="29"/>
    <n v="25"/>
    <n v="20.63"/>
    <n v="-515.75"/>
    <n v="19.813333333333333"/>
    <n v="27.86"/>
    <n v="603.5"/>
    <s v=""/>
  </r>
  <r>
    <x v="51"/>
    <x v="30"/>
    <n v="10"/>
    <n v="46"/>
    <n v="-460"/>
    <n v="46"/>
    <n v="48.87"/>
    <n v="28.699999999999974"/>
    <s v=""/>
  </r>
  <r>
    <x v="52"/>
    <x v="31"/>
    <n v="5"/>
    <n v="92"/>
    <n v="-460"/>
    <n v="92"/>
    <n v="107.86"/>
    <n v="79.3"/>
    <s v=""/>
  </r>
  <r>
    <x v="53"/>
    <x v="32"/>
    <n v="135"/>
    <n v="3.47"/>
    <n v="-468.45000000000005"/>
    <n v="3.47"/>
    <n v="2.7"/>
    <n v="-103.95"/>
    <s v=""/>
  </r>
  <r>
    <x v="54"/>
    <x v="33"/>
    <n v="30"/>
    <n v="16"/>
    <n v="-480"/>
    <n v="16"/>
    <n v="21.19"/>
    <n v="155.70000000000005"/>
    <s v=""/>
  </r>
  <r>
    <x v="55"/>
    <x v="34"/>
    <n v="45"/>
    <n v="7.18"/>
    <n v="-323.09999999999997"/>
    <n v="7.1799999999999979"/>
    <n v="6.49"/>
    <n v="-44.849999999999852"/>
    <s v=""/>
  </r>
  <r>
    <x v="56"/>
    <x v="34"/>
    <n v="5"/>
    <n v="7.18"/>
    <n v="-35.9"/>
    <n v="7.1799999999999979"/>
    <n v="6.49"/>
    <n v="-44.849999999999852"/>
    <s v=""/>
  </r>
  <r>
    <x v="57"/>
    <x v="34"/>
    <n v="5"/>
    <n v="7.18"/>
    <n v="-35.9"/>
    <n v="7.1799999999999979"/>
    <n v="6.49"/>
    <n v="-44.849999999999852"/>
    <s v=""/>
  </r>
  <r>
    <x v="58"/>
    <x v="34"/>
    <n v="5"/>
    <n v="7.18"/>
    <n v="-35.9"/>
    <n v="7.1799999999999979"/>
    <n v="6.49"/>
    <n v="-44.849999999999852"/>
    <s v=""/>
  </r>
  <r>
    <x v="59"/>
    <x v="34"/>
    <n v="5"/>
    <n v="7.18"/>
    <n v="-35.9"/>
    <n v="7.1799999999999979"/>
    <n v="6.49"/>
    <n v="-44.849999999999852"/>
    <s v=""/>
  </r>
  <r>
    <x v="60"/>
    <x v="35"/>
    <n v="10"/>
    <n v="428"/>
    <n v="-4280"/>
    <s v=""/>
    <n v="411.21"/>
    <s v=""/>
    <s v=""/>
  </r>
  <r>
    <x v="61"/>
    <x v="35"/>
    <n v="-10"/>
    <n v="528.20000000000005"/>
    <n v="5282"/>
    <s v=""/>
    <n v="411.21"/>
    <s v=""/>
    <n v="1002"/>
  </r>
  <r>
    <x v="62"/>
    <x v="36"/>
    <n v="10"/>
    <n v="39"/>
    <n v="-390"/>
    <n v="35.4"/>
    <n v="38.72"/>
    <n v="83"/>
    <s v=""/>
  </r>
  <r>
    <x v="63"/>
    <x v="36"/>
    <n v="15"/>
    <n v="33"/>
    <n v="-495"/>
    <n v="35.4"/>
    <n v="38.72"/>
    <n v="83"/>
    <s v=""/>
  </r>
  <r>
    <x v="61"/>
    <x v="37"/>
    <n v="5"/>
    <n v="78.34"/>
    <n v="-391.70000000000005"/>
    <n v="78.34"/>
    <n v="119.85"/>
    <n v="207.54999999999995"/>
    <s v=""/>
  </r>
  <r>
    <x v="64"/>
    <x v="38"/>
    <n v="10"/>
    <n v="42"/>
    <n v="-420"/>
    <n v="42"/>
    <n v="59.43"/>
    <n v="348.6"/>
    <s v=""/>
  </r>
  <r>
    <x v="65"/>
    <x v="38"/>
    <n v="10"/>
    <n v="42"/>
    <n v="-420"/>
    <n v="42"/>
    <n v="59.43"/>
    <n v="348.6"/>
    <s v=""/>
  </r>
  <r>
    <x v="66"/>
    <x v="39"/>
    <n v="10"/>
    <n v="36.619999999999997"/>
    <n v="-366.2"/>
    <n v="34.646000000000001"/>
    <n v="44.11"/>
    <n v="236.59999999999997"/>
    <s v=""/>
  </r>
  <r>
    <x v="67"/>
    <x v="39"/>
    <n v="15"/>
    <n v="33.33"/>
    <n v="-499.95"/>
    <n v="34.646000000000001"/>
    <n v="44.11"/>
    <n v="236.59999999999997"/>
    <s v=""/>
  </r>
  <r>
    <x v="36"/>
    <x v="40"/>
    <n v="5"/>
    <n v="134.49"/>
    <n v="-672.45"/>
    <n v="115.245"/>
    <n v="103.32"/>
    <n v="-119.25000000000011"/>
    <s v=""/>
  </r>
  <r>
    <x v="68"/>
    <x v="40"/>
    <n v="5"/>
    <n v="96"/>
    <n v="-480"/>
    <n v="115.245"/>
    <n v="103.32"/>
    <n v="-119.25000000000011"/>
    <s v=""/>
  </r>
  <r>
    <x v="69"/>
    <x v="41"/>
    <n v="5"/>
    <n v="60.98"/>
    <n v="-304.89999999999998"/>
    <n v="57.739999999999995"/>
    <n v="81.849999999999994"/>
    <n v="241.1"/>
    <s v=""/>
  </r>
  <r>
    <x v="70"/>
    <x v="41"/>
    <n v="5"/>
    <n v="54.5"/>
    <n v="-272.5"/>
    <n v="57.739999999999995"/>
    <n v="81.849999999999994"/>
    <n v="241.1"/>
    <s v=""/>
  </r>
  <r>
    <x v="71"/>
    <x v="42"/>
    <n v="5"/>
    <n v="98.03"/>
    <n v="-490.15"/>
    <n v="115.28"/>
    <n v="130.46"/>
    <n v="151.80000000000007"/>
    <s v=""/>
  </r>
  <r>
    <x v="36"/>
    <x v="42"/>
    <n v="5"/>
    <n v="132.53"/>
    <n v="-662.65"/>
    <n v="115.28"/>
    <n v="130.46"/>
    <n v="151.80000000000007"/>
    <s v=""/>
  </r>
  <r>
    <x v="72"/>
    <x v="43"/>
    <n v="10"/>
    <n v="42.14"/>
    <n v="-421.4"/>
    <n v="42.14"/>
    <n v="54.73"/>
    <n v="125.89999999999996"/>
    <s v=""/>
  </r>
  <r>
    <x v="73"/>
    <x v="44"/>
    <n v="45"/>
    <n v="9.93"/>
    <n v="-446.84999999999997"/>
    <n v="10.449107142857143"/>
    <n v="8.9600000000000009"/>
    <n v="-208.47499999999985"/>
    <s v=""/>
  </r>
  <r>
    <x v="35"/>
    <x v="44"/>
    <n v="45"/>
    <n v="10.67"/>
    <n v="-480.15"/>
    <n v="10.449107142857143"/>
    <n v="8.9600000000000009"/>
    <n v="-208.47499999999985"/>
    <s v=""/>
  </r>
  <r>
    <x v="74"/>
    <x v="44"/>
    <n v="45"/>
    <n v="10.805"/>
    <n v="-486.22499999999997"/>
    <n v="10.449107142857143"/>
    <n v="8.9600000000000009"/>
    <n v="-208.47499999999985"/>
    <s v=""/>
  </r>
  <r>
    <x v="75"/>
    <x v="44"/>
    <n v="5"/>
    <n v="9.93"/>
    <n v="-49.65"/>
    <n v="10.449107142857143"/>
    <n v="8.9600000000000009"/>
    <n v="-208.47499999999985"/>
    <s v=""/>
  </r>
  <r>
    <x v="76"/>
    <x v="45"/>
    <n v="25"/>
    <n v="19"/>
    <n v="-475"/>
    <n v="19"/>
    <n v="19.73"/>
    <n v="54.750000000000028"/>
    <s v=""/>
  </r>
  <r>
    <x v="77"/>
    <x v="45"/>
    <n v="25"/>
    <n v="18"/>
    <n v="-450"/>
    <n v="19"/>
    <n v="19.73"/>
    <n v="54.750000000000028"/>
    <s v=""/>
  </r>
  <r>
    <x v="78"/>
    <x v="45"/>
    <n v="25"/>
    <n v="20"/>
    <n v="-500"/>
    <n v="19"/>
    <n v="19.73"/>
    <n v="54.750000000000028"/>
    <s v=""/>
  </r>
  <r>
    <x v="79"/>
    <x v="46"/>
    <n v="20"/>
    <n v="22.52"/>
    <n v="-450.4"/>
    <n v="22.52"/>
    <n v="24.1"/>
    <n v="31.600000000000037"/>
    <s v=""/>
  </r>
  <r>
    <x v="80"/>
    <x v="47"/>
    <n v="30"/>
    <n v="11.8"/>
    <n v="-354"/>
    <n v="11.8"/>
    <n v="13"/>
    <n v="35.999999999999979"/>
    <s v=""/>
  </r>
  <r>
    <x v="81"/>
    <x v="48"/>
    <n v="30"/>
    <n v="17"/>
    <n v="-510"/>
    <n v="17"/>
    <n v="6.28"/>
    <n v="-321.59999999999997"/>
    <s v=""/>
  </r>
  <r>
    <x v="82"/>
    <x v="49"/>
    <n v="10"/>
    <n v="35.5"/>
    <n v="-355"/>
    <n v="35.5"/>
    <n v="79.3"/>
    <n v="438"/>
    <s v=""/>
  </r>
  <r>
    <x v="83"/>
    <x v="50"/>
    <n v="10"/>
    <n v="39.99"/>
    <n v="-399.90000000000003"/>
    <n v="39.99"/>
    <n v="64.97"/>
    <n v="249.79999999999995"/>
    <s v=""/>
  </r>
  <r>
    <x v="22"/>
    <x v="51"/>
    <n v="10"/>
    <n v="35.51"/>
    <n v="-355.09999999999997"/>
    <n v="38.464999999999996"/>
    <n v="53.46"/>
    <n v="299.90000000000009"/>
    <s v=""/>
  </r>
  <r>
    <x v="5"/>
    <x v="51"/>
    <n v="10"/>
    <n v="41.42"/>
    <n v="-414.20000000000005"/>
    <n v="38.464999999999996"/>
    <n v="53.46"/>
    <n v="299.90000000000009"/>
    <s v=""/>
  </r>
  <r>
    <x v="84"/>
    <x v="52"/>
    <n v="30"/>
    <n v="16.600000000000001"/>
    <n v="-498.00000000000006"/>
    <n v="17.355428571428572"/>
    <n v="18.809999999999999"/>
    <n v="254.5499999999997"/>
    <s v=""/>
  </r>
  <r>
    <x v="85"/>
    <x v="52"/>
    <n v="25"/>
    <n v="17"/>
    <n v="-425"/>
    <n v="17.355428571428572"/>
    <n v="18.809999999999999"/>
    <n v="254.5499999999997"/>
    <s v=""/>
  </r>
  <r>
    <x v="85"/>
    <x v="52"/>
    <n v="5"/>
    <n v="16.98"/>
    <n v="-84.9"/>
    <n v="17.355428571428572"/>
    <n v="18.809999999999999"/>
    <n v="254.5499999999997"/>
    <s v=""/>
  </r>
  <r>
    <x v="62"/>
    <x v="52"/>
    <n v="25"/>
    <n v="21.1"/>
    <n v="-527.5"/>
    <n v="17.355428571428572"/>
    <n v="18.809999999999999"/>
    <n v="254.5499999999997"/>
    <s v=""/>
  </r>
  <r>
    <x v="86"/>
    <x v="52"/>
    <n v="30"/>
    <n v="17"/>
    <n v="-510"/>
    <n v="17.355428571428572"/>
    <n v="18.809999999999999"/>
    <n v="254.5499999999997"/>
    <s v=""/>
  </r>
  <r>
    <x v="31"/>
    <x v="52"/>
    <n v="30"/>
    <n v="16.72"/>
    <n v="-501.59999999999997"/>
    <n v="17.355428571428572"/>
    <n v="18.809999999999999"/>
    <n v="254.5499999999997"/>
    <s v=""/>
  </r>
  <r>
    <x v="4"/>
    <x v="52"/>
    <n v="30"/>
    <n v="16.34"/>
    <n v="-490.2"/>
    <n v="17.355428571428572"/>
    <n v="18.809999999999999"/>
    <n v="254.5499999999997"/>
    <s v=""/>
  </r>
  <r>
    <x v="24"/>
    <x v="53"/>
    <n v="5"/>
    <n v="95.03"/>
    <n v="-475.15"/>
    <n v="95.03"/>
    <n v="111.3"/>
    <n v="81.34999999999998"/>
    <s v=""/>
  </r>
  <r>
    <x v="24"/>
    <x v="54"/>
    <n v="5"/>
    <n v="66.14"/>
    <n v="-330.7"/>
    <n v="65.206666666666678"/>
    <n v="63.57"/>
    <n v="-24.550000000000161"/>
    <s v=""/>
  </r>
  <r>
    <x v="87"/>
    <x v="54"/>
    <n v="5"/>
    <n v="64"/>
    <n v="-320"/>
    <n v="65.206666666666678"/>
    <n v="63.57"/>
    <n v="-24.550000000000161"/>
    <s v=""/>
  </r>
  <r>
    <x v="88"/>
    <x v="54"/>
    <n v="5"/>
    <n v="65.48"/>
    <n v="-327.40000000000003"/>
    <n v="65.206666666666678"/>
    <n v="63.57"/>
    <n v="-24.550000000000161"/>
    <s v=""/>
  </r>
  <r>
    <x v="26"/>
    <x v="55"/>
    <n v="65"/>
    <n v="6.85"/>
    <n v="-445.25"/>
    <n v="6.85"/>
    <n v="5.78"/>
    <n v="-74.899999999999963"/>
    <s v=""/>
  </r>
  <r>
    <x v="26"/>
    <x v="55"/>
    <n v="5"/>
    <n v="6.85"/>
    <n v="-34.25"/>
    <n v="6.85"/>
    <n v="5.78"/>
    <n v="-74.899999999999963"/>
    <s v=""/>
  </r>
  <r>
    <x v="89"/>
    <x v="56"/>
    <n v="5"/>
    <n v="58"/>
    <n v="-290"/>
    <n v="58"/>
    <n v="74.42"/>
    <n v="82.100000000000009"/>
    <s v=""/>
  </r>
  <r>
    <x v="90"/>
    <x v="57"/>
    <n v="5"/>
    <n v="59"/>
    <n v="-295"/>
    <n v="59"/>
    <n v="69"/>
    <n v="50"/>
    <s v=""/>
  </r>
  <r>
    <x v="36"/>
    <x v="58"/>
    <n v="15"/>
    <n v="32.25"/>
    <n v="-483.75"/>
    <n v="32.885000000000005"/>
    <n v="28.05"/>
    <n v="-145.05000000000013"/>
    <s v=""/>
  </r>
  <r>
    <x v="91"/>
    <x v="58"/>
    <n v="15"/>
    <n v="33.520000000000003"/>
    <n v="-502.80000000000007"/>
    <n v="32.885000000000005"/>
    <n v="28.05"/>
    <n v="-145.05000000000013"/>
    <s v=""/>
  </r>
  <r>
    <x v="25"/>
    <x v="59"/>
    <n v="35"/>
    <n v="13.9"/>
    <n v="-486.5"/>
    <n v="14.765263157894738"/>
    <n v="17.170000000000002"/>
    <n v="228.45000000000005"/>
    <s v=""/>
  </r>
  <r>
    <x v="92"/>
    <x v="59"/>
    <n v="30"/>
    <n v="15.05"/>
    <n v="-451.5"/>
    <n v="14.765263157894738"/>
    <n v="17.170000000000002"/>
    <n v="228.45000000000005"/>
    <s v=""/>
  </r>
  <r>
    <x v="35"/>
    <x v="59"/>
    <n v="30"/>
    <n v="15.49"/>
    <n v="-464.7"/>
    <n v="14.765263157894738"/>
    <n v="17.170000000000002"/>
    <n v="228.45000000000005"/>
    <s v=""/>
  </r>
  <r>
    <x v="93"/>
    <x v="60"/>
    <n v="175"/>
    <n v="2.75"/>
    <n v="-481.25"/>
    <n v="2.7845233644859815"/>
    <n v="2.56"/>
    <n v="-120.12000000000006"/>
    <s v=""/>
  </r>
  <r>
    <x v="35"/>
    <x v="60"/>
    <n v="185"/>
    <n v="2.7"/>
    <n v="-499.50000000000006"/>
    <n v="2.7845233644859815"/>
    <n v="2.56"/>
    <n v="-120.12000000000006"/>
    <s v=""/>
  </r>
  <r>
    <x v="94"/>
    <x v="60"/>
    <n v="175"/>
    <n v="2.9083999999999999"/>
    <n v="-508.96999999999997"/>
    <n v="2.7845233644859815"/>
    <n v="2.56"/>
    <n v="-120.12000000000006"/>
    <s v=""/>
  </r>
  <r>
    <x v="95"/>
    <x v="61"/>
    <n v="20"/>
    <n v="7.21"/>
    <n v="-144.19999999999999"/>
    <n v="10.763461538461538"/>
    <n v="5.15"/>
    <n v="-729.74999999999989"/>
    <s v=""/>
  </r>
  <r>
    <x v="24"/>
    <x v="61"/>
    <n v="30"/>
    <n v="15"/>
    <n v="-450"/>
    <n v="10.763461538461538"/>
    <n v="5.15"/>
    <n v="-729.74999999999989"/>
    <s v=""/>
  </r>
  <r>
    <x v="35"/>
    <x v="61"/>
    <n v="35"/>
    <n v="13.74"/>
    <n v="-480.90000000000003"/>
    <n v="10.763461538461538"/>
    <n v="5.15"/>
    <n v="-729.74999999999989"/>
    <s v=""/>
  </r>
  <r>
    <x v="96"/>
    <x v="61"/>
    <n v="5"/>
    <n v="7.15"/>
    <n v="-35.75"/>
    <n v="10.763461538461538"/>
    <n v="5.15"/>
    <n v="-729.74999999999989"/>
    <s v=""/>
  </r>
  <r>
    <x v="97"/>
    <x v="61"/>
    <n v="40"/>
    <n v="7.21"/>
    <n v="-288.39999999999998"/>
    <n v="10.763461538461538"/>
    <n v="5.15"/>
    <n v="-729.74999999999989"/>
    <s v=""/>
  </r>
  <r>
    <x v="98"/>
    <x v="62"/>
    <n v="100"/>
    <n v="4"/>
    <n v="-400"/>
    <n v="4"/>
    <n v="6.87"/>
    <n v="287"/>
    <s v=""/>
  </r>
  <r>
    <x v="99"/>
    <x v="63"/>
    <n v="75"/>
    <n v="6.3"/>
    <n v="-472.5"/>
    <n v="6.3"/>
    <n v="3.83"/>
    <n v="-49.399999999999991"/>
    <s v=""/>
  </r>
  <r>
    <x v="100"/>
    <x v="63"/>
    <n v="-55"/>
    <n v="6"/>
    <n v="330"/>
    <s v=""/>
    <n v="3.83"/>
    <s v=""/>
    <n v="-142.5"/>
  </r>
  <r>
    <x v="5"/>
    <x v="64"/>
    <n v="10"/>
    <n v="43.19"/>
    <n v="-431.9"/>
    <n v="43.605000000000004"/>
    <n v="50.74"/>
    <n v="142.69999999999996"/>
    <s v=""/>
  </r>
  <r>
    <x v="62"/>
    <x v="64"/>
    <n v="10"/>
    <n v="44.02"/>
    <n v="-440.20000000000005"/>
    <n v="43.605000000000004"/>
    <n v="50.74"/>
    <n v="142.69999999999996"/>
    <s v=""/>
  </r>
  <r>
    <x v="25"/>
    <x v="65"/>
    <n v="5"/>
    <n v="80.989999999999995"/>
    <n v="-404.95"/>
    <n v="79.373333333333321"/>
    <n v="88.73"/>
    <n v="140.35000000000025"/>
    <s v=""/>
  </r>
  <r>
    <x v="28"/>
    <x v="65"/>
    <n v="5"/>
    <n v="77.099999999999994"/>
    <n v="-385.5"/>
    <n v="79.373333333333321"/>
    <n v="88.73"/>
    <n v="140.35000000000025"/>
    <s v=""/>
  </r>
  <r>
    <x v="24"/>
    <x v="65"/>
    <n v="5"/>
    <n v="80.03"/>
    <n v="-400.15"/>
    <n v="79.373333333333321"/>
    <n v="88.73"/>
    <n v="140.35000000000025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L7" firstHeaderRow="0" firstDataRow="1" firstDataCol="1"/>
  <pivotFields count="5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Capital or Gain" fld="4" baseField="1" baseItem="0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Capital or Gain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5" firstHeaderRow="0" firstDataRow="1" firstDataCol="1"/>
  <pivotFields count="11">
    <pivotField axis="axisRow" numFmtId="22" showAll="0">
      <items count="169">
        <item x="99"/>
        <item x="95"/>
        <item x="96"/>
        <item x="97"/>
        <item x="17"/>
        <item x="53"/>
        <item x="81"/>
        <item x="7"/>
        <item x="43"/>
        <item x="48"/>
        <item m="1" x="166"/>
        <item x="69"/>
        <item x="16"/>
        <item x="56"/>
        <item x="57"/>
        <item x="59"/>
        <item x="58"/>
        <item x="55"/>
        <item x="13"/>
        <item x="98"/>
        <item m="1" x="101"/>
        <item x="70"/>
        <item x="14"/>
        <item x="20"/>
        <item x="42"/>
        <item m="1" x="102"/>
        <item m="1" x="103"/>
        <item m="1" x="106"/>
        <item x="47"/>
        <item x="30"/>
        <item x="64"/>
        <item x="23"/>
        <item x="41"/>
        <item x="74"/>
        <item x="52"/>
        <item x="49"/>
        <item x="27"/>
        <item x="21"/>
        <item x="78"/>
        <item x="11"/>
        <item x="39"/>
        <item m="1" x="104"/>
        <item x="85"/>
        <item x="32"/>
        <item x="66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7"/>
        <item x="94"/>
        <item x="10"/>
        <item x="38"/>
        <item x="1"/>
        <item x="44"/>
        <item x="6"/>
        <item x="77"/>
        <item x="65"/>
        <item x="84"/>
        <item x="25"/>
        <item x="71"/>
        <item x="31"/>
        <item x="75"/>
        <item x="34"/>
        <item x="73"/>
        <item x="68"/>
        <item x="76"/>
        <item x="0"/>
        <item m="1" x="167"/>
        <item x="45"/>
        <item x="50"/>
        <item m="1" x="105"/>
        <item x="51"/>
        <item x="33"/>
        <item x="28"/>
        <item x="86"/>
        <item x="12"/>
        <item x="92"/>
        <item x="80"/>
        <item x="46"/>
        <item x="87"/>
        <item x="82"/>
        <item x="100"/>
        <item x="4"/>
        <item x="35"/>
        <item x="26"/>
        <item x="3"/>
        <item x="9"/>
        <item x="40"/>
        <item x="62"/>
        <item x="24"/>
        <item x="93"/>
        <item x="72"/>
        <item x="91"/>
        <item x="18"/>
        <item m="1" x="165"/>
        <item m="1" x="163"/>
        <item x="61"/>
        <item x="36"/>
        <item x="5"/>
        <item x="88"/>
        <item m="1" x="164"/>
        <item m="1" x="162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x="60"/>
        <item t="default"/>
      </items>
    </pivotField>
    <pivotField axis="axisRow" showAll="0">
      <items count="1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m="1" x="115"/>
        <item sd="0" m="1" x="66"/>
        <item sd="0" m="1" x="67"/>
        <item sd="0" m="1" x="68"/>
        <item sd="0" m="1" x="69"/>
        <item sd="0" m="1" x="70"/>
        <item sd="0" m="1" x="71"/>
        <item sd="0" m="1" x="72"/>
        <item sd="0" m="1" x="73"/>
        <item sd="0" m="1" x="74"/>
        <item sd="0" m="1" x="75"/>
        <item sd="0" m="1" x="76"/>
        <item sd="0" m="1" x="77"/>
        <item sd="0" m="1" x="78"/>
        <item sd="0" m="1" x="79"/>
        <item sd="0" m="1" x="80"/>
        <item sd="0" m="1" x="81"/>
        <item sd="0" m="1" x="82"/>
        <item sd="0" m="1" x="83"/>
        <item sd="0" m="1" x="84"/>
        <item sd="0" m="1" x="85"/>
        <item sd="0" m="1" x="86"/>
        <item sd="0" m="1" x="87"/>
        <item sd="0" m="1" x="88"/>
        <item sd="0" m="1" x="89"/>
        <item sd="0" m="1" x="90"/>
        <item sd="0" m="1" x="91"/>
        <item sd="0" m="1" x="92"/>
        <item sd="0" m="1" x="93"/>
        <item sd="0" m="1" x="94"/>
        <item sd="0" m="1" x="95"/>
        <item sd="0" m="1" x="96"/>
        <item sd="0" m="1" x="97"/>
        <item sd="0" m="1" x="98"/>
        <item sd="0" m="1" x="99"/>
        <item sd="0" m="1" x="100"/>
        <item sd="0" m="1" x="101"/>
        <item sd="0" m="1" x="102"/>
        <item sd="0" m="1" x="103"/>
        <item sd="0" m="1" x="104"/>
        <item sd="0" m="1" x="105"/>
        <item sd="0" m="1" x="106"/>
        <item sd="0" m="1" x="107"/>
        <item sd="0" m="1" x="108"/>
        <item sd="0" m="1" x="109"/>
        <item sd="0" m="1" x="110"/>
        <item sd="0" m="1" x="111"/>
        <item sd="0" m="1" x="112"/>
        <item sd="0" m="1" x="113"/>
        <item sd="0" m="1" x="114"/>
        <item x="35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2"/>
        <item x="0"/>
        <item x="1"/>
        <item x="3"/>
        <item t="default"/>
      </items>
    </pivotField>
  </pivotFields>
  <rowFields count="4">
    <field x="1"/>
    <field x="10"/>
    <field x="9"/>
    <field x="0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115"/>
    </i>
    <i r="1">
      <x/>
    </i>
    <i r="2">
      <x v="1"/>
    </i>
    <i r="3">
      <x v="167"/>
    </i>
    <i r="2">
      <x v="10"/>
    </i>
    <i r="3">
      <x v="10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subtotal="max" baseField="1" baseItem="7" numFmtId="4"/>
  </dataFields>
  <formats count="15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9">
      <pivotArea dataOnly="0" labelOnly="1" fieldPosition="0">
        <references count="1">
          <reference field="1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4">
      <pivotArea outline="0" fieldPosition="0">
        <references count="1">
          <reference field="4294967294" count="1">
            <x v="4"/>
          </reference>
        </references>
      </pivotArea>
    </format>
    <format dxfId="33">
      <pivotArea outline="0" fieldPosition="0">
        <references count="1">
          <reference field="4294967294" count="1">
            <x v="5"/>
          </reference>
        </references>
      </pivotArea>
    </format>
    <format dxfId="32">
      <pivotArea outline="0" fieldPosition="0">
        <references count="1">
          <reference field="4294967294" count="1">
            <x v="1"/>
          </reference>
        </references>
      </pivotArea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3">
    <queryTableFields count="5">
      <queryTableField id="4" name="Label" tableColumnId="4"/>
      <queryTableField id="1" name="Symbol" tableColumnId="1"/>
      <queryTableField id="10" name="Open P&amp;L Weight" tableColumnId="6"/>
      <queryTableField id="21" name="Capital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2">
    <queryTableFields count="5">
      <queryTableField id="1" name="Label" tableColumnId="1"/>
      <queryTableField id="2" name="Symbol" tableColumnId="2"/>
      <queryTableField id="3" name="Investment Weight" tableColumnId="3"/>
      <queryTableField id="10" name="Capital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5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6">
    <queryTableFields count="7">
      <queryTableField id="1" name="Symbol" tableColumnId="1"/>
      <queryTableField id="12" name="Current Qty" tableColumnId="2"/>
      <queryTableField id="16" dataBound="0" tableColumnId="10"/>
      <queryTableField id="23" name="Capital or P&amp;L" tableColumnId="4"/>
      <queryTableField id="22" dataBound="0" tableColumnId="3"/>
      <queryTableField id="13" name="Avg Price" tableColumnId="8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6" dataCellStyle="Percent"/>
    <tableColumn id="1" xr3:uid="{E7030DCB-F3FA-44CF-B44F-1860EA22FF9E}" uniqueName="1" name="Symbol" queryTableFieldId="1" dataDxfId="5" dataCellStyle="Percent"/>
    <tableColumn id="6" xr3:uid="{BBCA5263-9CFF-4070-9E95-F0282EB2A60C}" uniqueName="6" name="Open P&amp;L Weight" queryTableFieldId="10" dataDxfId="4" dataCellStyle="Percent"/>
    <tableColumn id="3" xr3:uid="{C3A049D2-EF2F-48E7-A718-8893E3896217}" uniqueName="3" name="Capital or P&amp;L" queryTableFieldId="21" dataDxfId="3" dataCellStyle="Percent"/>
    <tableColumn id="2" xr3:uid="{734FCD8F-9186-4B45-991E-5B70D1ABA03E}" uniqueName="2" name="Open P&amp;L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7" tableType="queryTable" totalsRowShown="0">
  <autoFilter ref="H1:L67" xr:uid="{75427FA4-FAFD-4E65-B353-89B99EAB9E97}"/>
  <sortState xmlns:xlrd2="http://schemas.microsoft.com/office/spreadsheetml/2017/richdata2" ref="H2:L67">
    <sortCondition descending="1" ref="H1:H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CF6695EA-035E-450A-9818-21A58A156EE8}" uniqueName="4" name="Capital or P&amp;L" queryTableFieldId="10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36" tableType="queryTable" totalsRowShown="0">
  <autoFilter ref="A1:I136" xr:uid="{113F2650-87C8-46A1-9368-DA40978948DC}"/>
  <sortState xmlns:xlrd2="http://schemas.microsoft.com/office/spreadsheetml/2017/richdata2" ref="A2:I136">
    <sortCondition ref="B1:B136"/>
  </sortState>
  <tableColumns count="9">
    <tableColumn id="7" xr3:uid="{23B1B625-E096-48FF-8012-0F592367D55B}" uniqueName="7" name="Exec Time" queryTableFieldId="7" dataDxfId="14"/>
    <tableColumn id="8" xr3:uid="{73811826-3DC1-44C8-8519-00D40F3712BA}" uniqueName="8" name="Symbol" queryTableFieldId="8" dataDxfId="44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3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2">
      <calculatedColumnFormula>RTD("tos.rtd", , "LAST", trades[[#This Row],[Symbol]])</calculatedColumnFormula>
    </tableColumn>
    <tableColumn id="5" xr3:uid="{FB396E8C-431D-4083-B1E0-84ECB24AA57A}" uniqueName="5" name="Open P&amp;L" queryTableFieldId="24" dataDxfId="11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0">
      <calculatedColumnFormula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9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4" xr3:uid="{92DF65ED-A617-4099-903D-C3374134238C}" uniqueName="4" name="Capital or P&amp;L" queryTableFieldId="23"/>
    <tableColumn id="3" xr3:uid="{75FEE25F-E9F8-458F-92E0-ECB8F38B973E}" uniqueName="3" name="Open P&amp;L" queryTableFieldId="22" dataDxfId="8">
      <calculatedColumnFormula>IFERROR((stocks[[#This Row],[Current Price]]-stocks[[#This Row],[Avg Price]])*stocks[[#This Row],[Current Qty]],"")</calculatedColumnFormula>
    </tableColumn>
    <tableColumn id="8" xr3:uid="{1FF881DC-A8D2-47D0-9C52-C1924EDD0766}" uniqueName="8" name="Avg Price" queryTableFieldId="13"/>
    <tableColumn id="9" xr3:uid="{01FFA873-E353-44D8-8C83-42B178DF1163}" uniqueName="9" name="Realized P&amp;L" queryTableFieldId="14" dataDxfId="7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8">
  <autoFilter ref="A3:C18" xr:uid="{460051CA-F394-47FA-AEB2-2E3959D693B6}"/>
  <tableColumns count="3">
    <tableColumn id="1" xr3:uid="{7FE19C1B-CD7F-45FD-BC8D-588D95703151}" name="Month" totalsRowLabel="Total" dataDxfId="27" totalsRowDxfId="26"/>
    <tableColumn id="2" xr3:uid="{90090ED8-B9C9-4FCC-8295-5982C9FCEBDB}" name="Gross P&amp;L" totalsRowFunction="sum" dataDxfId="25" totalsRowDxfId="24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dataDxfId="23" totalsRowDxfId="22">
      <calculatedColumnFormula>SUM($B$4:monthly_pl[[#This Row],[Gross P&amp;L]])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1">
  <autoFilter ref="A22:C34" xr:uid="{9F354428-4B06-4AC0-8DFA-4FB7DA150ACD}"/>
  <tableColumns count="3">
    <tableColumn id="1" xr3:uid="{BF491D01-8C5D-41F4-BA00-D9A05B62672C}" name="Month" totalsRowLabel="Total" dataDxfId="20" totalsRowDxfId="19"/>
    <tableColumn id="2" xr3:uid="{6FDA88A7-6C85-44FD-A7C2-A95343FF1A1D}" name="Gross P&amp;L" totalsRowFunction="sum" dataDxfId="18" totalsRowDxfId="17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dataDxfId="16" totalsRowDxfId="15">
      <calculatedColumnFormula>SUM($B$4:monthly_pl9[[#This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U67"/>
  <sheetViews>
    <sheetView workbookViewId="0">
      <selection activeCell="G56" sqref="G56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16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16" bestFit="1" customWidth="1"/>
    <col min="12" max="12" width="12" bestFit="1" customWidth="1"/>
    <col min="13" max="13" width="20" bestFit="1" customWidth="1"/>
    <col min="14" max="16" width="12" bestFit="1" customWidth="1"/>
    <col min="17" max="17" width="12.28515625" bestFit="1" customWidth="1"/>
    <col min="18" max="18" width="12" customWidth="1"/>
  </cols>
  <sheetData>
    <row r="1" spans="1:21" x14ac:dyDescent="0.25">
      <c r="A1" t="s">
        <v>18</v>
      </c>
      <c r="B1" t="s">
        <v>2</v>
      </c>
      <c r="C1" t="s">
        <v>29</v>
      </c>
      <c r="D1" t="s">
        <v>108</v>
      </c>
      <c r="E1" t="s">
        <v>8</v>
      </c>
      <c r="H1" t="s">
        <v>18</v>
      </c>
      <c r="I1" t="s">
        <v>2</v>
      </c>
      <c r="J1" t="s">
        <v>27</v>
      </c>
      <c r="K1" t="s">
        <v>108</v>
      </c>
      <c r="L1" t="s">
        <v>8</v>
      </c>
      <c r="N1" s="32" t="s">
        <v>101</v>
      </c>
      <c r="O1" s="33"/>
      <c r="P1" s="33"/>
      <c r="Q1" s="33"/>
      <c r="R1" s="33"/>
      <c r="S1" s="33"/>
      <c r="T1" s="33"/>
      <c r="U1" s="34"/>
    </row>
    <row r="2" spans="1:21" x14ac:dyDescent="0.25">
      <c r="A2" s="9" t="s">
        <v>19</v>
      </c>
      <c r="B2" s="9" t="s">
        <v>35</v>
      </c>
      <c r="C2" s="19">
        <v>2.9226985839437301E-2</v>
      </c>
      <c r="D2" s="9">
        <v>-1991.14</v>
      </c>
      <c r="E2" s="52">
        <v>415</v>
      </c>
      <c r="H2" t="s">
        <v>19</v>
      </c>
      <c r="I2" t="s">
        <v>35</v>
      </c>
      <c r="J2" s="19">
        <v>3.6933629869804703E-2</v>
      </c>
      <c r="K2" s="9">
        <v>-1991.14</v>
      </c>
      <c r="L2">
        <v>415</v>
      </c>
      <c r="N2" s="35"/>
      <c r="O2" s="36"/>
      <c r="P2" s="36"/>
      <c r="Q2" s="36"/>
      <c r="R2" s="36"/>
      <c r="S2" s="36"/>
      <c r="T2" s="36"/>
      <c r="U2" s="37"/>
    </row>
    <row r="3" spans="1:21" x14ac:dyDescent="0.25">
      <c r="A3" s="9" t="s">
        <v>19</v>
      </c>
      <c r="B3" s="9" t="s">
        <v>36</v>
      </c>
      <c r="C3" s="19">
        <v>1.5388184110643501E-3</v>
      </c>
      <c r="D3" s="9">
        <v>-400</v>
      </c>
      <c r="E3" s="52">
        <v>21.850000000000023</v>
      </c>
      <c r="H3" t="s">
        <v>19</v>
      </c>
      <c r="I3" t="s">
        <v>36</v>
      </c>
      <c r="J3" s="19">
        <v>7.4195947788311496E-3</v>
      </c>
      <c r="K3" s="9">
        <v>-400</v>
      </c>
      <c r="L3">
        <v>21.850000000000023</v>
      </c>
      <c r="N3" s="35"/>
      <c r="O3" s="36"/>
      <c r="P3" s="36"/>
      <c r="Q3" s="36"/>
      <c r="R3" s="36"/>
      <c r="S3" s="36"/>
      <c r="T3" s="36"/>
      <c r="U3" s="37"/>
    </row>
    <row r="4" spans="1:21" x14ac:dyDescent="0.25">
      <c r="A4" s="9" t="s">
        <v>19</v>
      </c>
      <c r="B4" s="9" t="s">
        <v>38</v>
      </c>
      <c r="C4" s="19">
        <v>4.78900008935359E-2</v>
      </c>
      <c r="D4" s="9">
        <v>-521</v>
      </c>
      <c r="E4" s="52">
        <v>680</v>
      </c>
      <c r="H4" t="s">
        <v>19</v>
      </c>
      <c r="I4" t="s">
        <v>38</v>
      </c>
      <c r="J4" s="19">
        <v>9.6640221994275799E-3</v>
      </c>
      <c r="K4" s="9">
        <v>-521</v>
      </c>
      <c r="L4">
        <v>680</v>
      </c>
      <c r="N4" s="35"/>
      <c r="O4" s="36"/>
      <c r="P4" s="36"/>
      <c r="Q4" s="36"/>
      <c r="R4" s="36"/>
      <c r="S4" s="36"/>
      <c r="T4" s="36"/>
      <c r="U4" s="37"/>
    </row>
    <row r="5" spans="1:21" x14ac:dyDescent="0.25">
      <c r="A5" s="9" t="s">
        <v>19</v>
      </c>
      <c r="B5" s="9" t="s">
        <v>40</v>
      </c>
      <c r="C5" s="19">
        <v>1.4162763499544199E-2</v>
      </c>
      <c r="D5" s="9">
        <v>-389.5</v>
      </c>
      <c r="E5" s="52">
        <v>201.1</v>
      </c>
      <c r="H5" t="s">
        <v>19</v>
      </c>
      <c r="I5" t="s">
        <v>40</v>
      </c>
      <c r="J5" s="19">
        <v>7.2248304158868404E-3</v>
      </c>
      <c r="K5" s="9">
        <v>-389.5</v>
      </c>
      <c r="L5">
        <v>201.1</v>
      </c>
      <c r="N5" s="35"/>
      <c r="O5" s="36"/>
      <c r="P5" s="36"/>
      <c r="Q5" s="36"/>
      <c r="R5" s="36"/>
      <c r="S5" s="36"/>
      <c r="T5" s="36"/>
      <c r="U5" s="37"/>
    </row>
    <row r="6" spans="1:21" ht="15.75" thickBot="1" x14ac:dyDescent="0.3">
      <c r="A6" s="9" t="s">
        <v>19</v>
      </c>
      <c r="B6" s="9" t="s">
        <v>41</v>
      </c>
      <c r="C6" s="19">
        <v>1.11132972661764E-2</v>
      </c>
      <c r="D6" s="9">
        <v>-1239.9000000000001</v>
      </c>
      <c r="E6" s="52">
        <v>157.80000000000001</v>
      </c>
      <c r="H6" t="s">
        <v>19</v>
      </c>
      <c r="I6" t="s">
        <v>41</v>
      </c>
      <c r="J6" s="19">
        <v>2.29988889156819E-2</v>
      </c>
      <c r="K6" s="9">
        <v>-1239.9000000000001</v>
      </c>
      <c r="L6">
        <v>157.80000000000001</v>
      </c>
      <c r="N6" s="38"/>
      <c r="O6" s="39"/>
      <c r="P6" s="39"/>
      <c r="Q6" s="39"/>
      <c r="R6" s="39"/>
      <c r="S6" s="39"/>
      <c r="T6" s="39"/>
      <c r="U6" s="40"/>
    </row>
    <row r="7" spans="1:21" x14ac:dyDescent="0.25">
      <c r="A7" s="9" t="s">
        <v>19</v>
      </c>
      <c r="B7" s="9" t="s">
        <v>42</v>
      </c>
      <c r="C7" s="19">
        <v>4.0037449276434003E-2</v>
      </c>
      <c r="D7" s="9">
        <v>-353.1</v>
      </c>
      <c r="E7" s="52">
        <v>568.5</v>
      </c>
      <c r="H7" t="s">
        <v>19</v>
      </c>
      <c r="I7" t="s">
        <v>42</v>
      </c>
      <c r="J7" s="19">
        <v>6.5496472910132001E-3</v>
      </c>
      <c r="K7" s="9">
        <v>-353.1</v>
      </c>
      <c r="L7">
        <v>568.5</v>
      </c>
      <c r="N7" s="30"/>
      <c r="O7" s="30"/>
      <c r="P7" s="30"/>
      <c r="Q7" s="30"/>
      <c r="R7" s="30"/>
      <c r="S7" s="30"/>
      <c r="T7" s="30"/>
      <c r="U7" s="30"/>
    </row>
    <row r="8" spans="1:21" ht="15.75" thickBot="1" x14ac:dyDescent="0.3">
      <c r="A8" s="9" t="s">
        <v>19</v>
      </c>
      <c r="B8" s="9" t="s">
        <v>43</v>
      </c>
      <c r="C8" s="19">
        <v>9.7928009180090606E-2</v>
      </c>
      <c r="D8" s="9">
        <v>-1251.75</v>
      </c>
      <c r="E8" s="52">
        <v>1390.4999999999998</v>
      </c>
      <c r="H8" t="s">
        <v>19</v>
      </c>
      <c r="I8" t="s">
        <v>43</v>
      </c>
      <c r="J8" s="19">
        <v>2.3218694411004701E-2</v>
      </c>
      <c r="K8" s="9">
        <v>-1251.75</v>
      </c>
      <c r="L8">
        <v>1390.4999999999998</v>
      </c>
    </row>
    <row r="9" spans="1:21" x14ac:dyDescent="0.25">
      <c r="A9" s="9" t="s">
        <v>19</v>
      </c>
      <c r="B9" s="9" t="s">
        <v>44</v>
      </c>
      <c r="C9" s="19">
        <v>4.6375831747637302E-3</v>
      </c>
      <c r="D9" s="9">
        <v>-349.15</v>
      </c>
      <c r="E9" s="52">
        <v>65.850000000000009</v>
      </c>
      <c r="H9" t="s">
        <v>19</v>
      </c>
      <c r="I9" t="s">
        <v>44</v>
      </c>
      <c r="J9" s="19">
        <v>6.4763787925722401E-3</v>
      </c>
      <c r="K9" s="9">
        <v>-349.15</v>
      </c>
      <c r="L9">
        <v>65.850000000000009</v>
      </c>
      <c r="N9" s="32" t="s">
        <v>109</v>
      </c>
      <c r="O9" s="33"/>
      <c r="P9" s="33"/>
      <c r="Q9" s="33"/>
      <c r="R9" s="33"/>
      <c r="S9" s="33"/>
      <c r="T9" s="33"/>
      <c r="U9" s="34"/>
    </row>
    <row r="10" spans="1:21" x14ac:dyDescent="0.25">
      <c r="A10" s="9" t="s">
        <v>19</v>
      </c>
      <c r="B10" s="9" t="s">
        <v>49</v>
      </c>
      <c r="C10" s="19">
        <v>5.9017383454092699E-3</v>
      </c>
      <c r="D10" s="9">
        <v>-370</v>
      </c>
      <c r="E10" s="52">
        <v>83.800000000000026</v>
      </c>
      <c r="H10" t="s">
        <v>19</v>
      </c>
      <c r="I10" t="s">
        <v>49</v>
      </c>
      <c r="J10" s="19">
        <v>6.86312517041882E-3</v>
      </c>
      <c r="K10" s="9">
        <v>-370</v>
      </c>
      <c r="L10">
        <v>83.800000000000026</v>
      </c>
      <c r="N10" s="35"/>
      <c r="O10" s="36"/>
      <c r="P10" s="36"/>
      <c r="Q10" s="36"/>
      <c r="R10" s="36"/>
      <c r="S10" s="36"/>
      <c r="T10" s="36"/>
      <c r="U10" s="37"/>
    </row>
    <row r="11" spans="1:21" x14ac:dyDescent="0.25">
      <c r="A11" s="9" t="s">
        <v>19</v>
      </c>
      <c r="B11" s="9" t="s">
        <v>50</v>
      </c>
      <c r="C11" s="19">
        <v>5.3594545117618799E-3</v>
      </c>
      <c r="D11" s="9">
        <v>-448.45</v>
      </c>
      <c r="E11" s="52">
        <v>76.099999999999994</v>
      </c>
      <c r="H11" t="s">
        <v>19</v>
      </c>
      <c r="I11" t="s">
        <v>50</v>
      </c>
      <c r="J11" s="19">
        <v>8.3182931964170797E-3</v>
      </c>
      <c r="K11" s="9">
        <v>-448.45</v>
      </c>
      <c r="L11">
        <v>76.099999999999994</v>
      </c>
      <c r="N11" s="35"/>
      <c r="O11" s="36"/>
      <c r="P11" s="36"/>
      <c r="Q11" s="36"/>
      <c r="R11" s="36"/>
      <c r="S11" s="36"/>
      <c r="T11" s="36"/>
      <c r="U11" s="37"/>
    </row>
    <row r="12" spans="1:21" ht="15.75" thickBot="1" x14ac:dyDescent="0.3">
      <c r="A12" s="9" t="s">
        <v>19</v>
      </c>
      <c r="B12" s="9" t="s">
        <v>51</v>
      </c>
      <c r="C12" s="19">
        <v>8.6554133967875792E-3</v>
      </c>
      <c r="D12" s="9">
        <v>-500</v>
      </c>
      <c r="E12" s="52">
        <v>122.89999999999999</v>
      </c>
      <c r="H12" t="s">
        <v>19</v>
      </c>
      <c r="I12" t="s">
        <v>51</v>
      </c>
      <c r="J12" s="19">
        <v>9.2744934735389407E-3</v>
      </c>
      <c r="K12" s="9">
        <v>-500</v>
      </c>
      <c r="L12">
        <v>122.89999999999999</v>
      </c>
      <c r="N12" s="38"/>
      <c r="O12" s="39"/>
      <c r="P12" s="39"/>
      <c r="Q12" s="39"/>
      <c r="R12" s="39"/>
      <c r="S12" s="39"/>
      <c r="T12" s="39"/>
      <c r="U12" s="40"/>
    </row>
    <row r="13" spans="1:21" x14ac:dyDescent="0.25">
      <c r="A13" s="9" t="s">
        <v>19</v>
      </c>
      <c r="B13" s="9" t="s">
        <v>53</v>
      </c>
      <c r="C13" s="19">
        <v>2.8871332156330899E-2</v>
      </c>
      <c r="D13" s="9">
        <v>-487.8</v>
      </c>
      <c r="E13" s="52">
        <v>409.95</v>
      </c>
      <c r="H13" t="s">
        <v>19</v>
      </c>
      <c r="I13" t="s">
        <v>53</v>
      </c>
      <c r="J13" s="19">
        <v>9.0481958327845897E-3</v>
      </c>
      <c r="K13" s="9">
        <v>-487.8</v>
      </c>
      <c r="L13">
        <v>409.95</v>
      </c>
    </row>
    <row r="14" spans="1:21" x14ac:dyDescent="0.25">
      <c r="A14" s="9" t="s">
        <v>19</v>
      </c>
      <c r="B14" s="9" t="s">
        <v>56</v>
      </c>
      <c r="C14" s="19">
        <v>5.8453971678874596E-3</v>
      </c>
      <c r="D14" s="9">
        <v>-445</v>
      </c>
      <c r="E14" s="52">
        <v>82.999999999999972</v>
      </c>
      <c r="H14" t="s">
        <v>19</v>
      </c>
      <c r="I14" t="s">
        <v>56</v>
      </c>
      <c r="J14" s="19">
        <v>8.2542991914496596E-3</v>
      </c>
      <c r="K14" s="9">
        <v>-445</v>
      </c>
      <c r="L14">
        <v>82.999999999999972</v>
      </c>
    </row>
    <row r="15" spans="1:21" x14ac:dyDescent="0.25">
      <c r="A15" s="9" t="s">
        <v>19</v>
      </c>
      <c r="B15" s="9" t="s">
        <v>60</v>
      </c>
      <c r="C15" s="19">
        <v>2.2818176896331799E-2</v>
      </c>
      <c r="D15" s="9">
        <v>-2376.4</v>
      </c>
      <c r="E15" s="52">
        <v>324.00000000000011</v>
      </c>
      <c r="H15" t="s">
        <v>19</v>
      </c>
      <c r="I15" t="s">
        <v>60</v>
      </c>
      <c r="J15" s="19">
        <v>4.4079812581035903E-2</v>
      </c>
      <c r="K15" s="9">
        <v>-2376.4</v>
      </c>
      <c r="L15">
        <v>324.00000000000011</v>
      </c>
    </row>
    <row r="16" spans="1:21" x14ac:dyDescent="0.25">
      <c r="A16" s="9" t="s">
        <v>19</v>
      </c>
      <c r="B16" s="9" t="s">
        <v>61</v>
      </c>
      <c r="C16" s="19">
        <v>3.4227265344497701E-2</v>
      </c>
      <c r="D16" s="9">
        <v>-1000.3</v>
      </c>
      <c r="E16" s="52">
        <v>486.00000000000006</v>
      </c>
      <c r="H16" t="s">
        <v>19</v>
      </c>
      <c r="I16" t="s">
        <v>61</v>
      </c>
      <c r="J16" s="19">
        <v>1.8554551643161998E-2</v>
      </c>
      <c r="K16" s="9">
        <v>-1000.3</v>
      </c>
      <c r="L16">
        <v>486.00000000000006</v>
      </c>
    </row>
    <row r="17" spans="1:12" x14ac:dyDescent="0.25">
      <c r="A17" s="9" t="s">
        <v>19</v>
      </c>
      <c r="B17" s="9" t="s">
        <v>62</v>
      </c>
      <c r="C17" s="19">
        <v>4.8773853115909198E-2</v>
      </c>
      <c r="D17" s="9">
        <v>-990.2</v>
      </c>
      <c r="E17" s="52">
        <v>692.55000000000007</v>
      </c>
      <c r="H17" t="s">
        <v>19</v>
      </c>
      <c r="I17" t="s">
        <v>62</v>
      </c>
      <c r="J17" s="19">
        <v>1.8367206874996499E-2</v>
      </c>
      <c r="K17" s="9">
        <v>-990.2</v>
      </c>
      <c r="L17">
        <v>692.55000000000007</v>
      </c>
    </row>
    <row r="18" spans="1:12" x14ac:dyDescent="0.25">
      <c r="A18" s="9" t="s">
        <v>19</v>
      </c>
      <c r="B18" s="9" t="s">
        <v>63</v>
      </c>
      <c r="C18" s="19">
        <v>4.2924934624426703E-2</v>
      </c>
      <c r="D18" s="9">
        <v>-2954.73</v>
      </c>
      <c r="E18" s="52">
        <v>609.50000000000034</v>
      </c>
      <c r="H18" t="s">
        <v>19</v>
      </c>
      <c r="I18" t="s">
        <v>63</v>
      </c>
      <c r="J18" s="19">
        <v>5.4807248202139398E-2</v>
      </c>
      <c r="K18" s="9">
        <v>-2954.73</v>
      </c>
      <c r="L18">
        <v>609.50000000000034</v>
      </c>
    </row>
    <row r="19" spans="1:12" x14ac:dyDescent="0.25">
      <c r="A19" s="9" t="s">
        <v>19</v>
      </c>
      <c r="B19" s="9" t="s">
        <v>64</v>
      </c>
      <c r="C19" s="19">
        <v>4.2519982410988602E-2</v>
      </c>
      <c r="D19" s="9">
        <v>-1486</v>
      </c>
      <c r="E19" s="52">
        <v>603.75</v>
      </c>
      <c r="H19" t="s">
        <v>19</v>
      </c>
      <c r="I19" t="s">
        <v>64</v>
      </c>
      <c r="J19" s="19">
        <v>2.75637946033577E-2</v>
      </c>
      <c r="K19" s="9">
        <v>-1486</v>
      </c>
      <c r="L19">
        <v>603.75</v>
      </c>
    </row>
    <row r="20" spans="1:12" x14ac:dyDescent="0.25">
      <c r="A20" s="9" t="s">
        <v>19</v>
      </c>
      <c r="B20" s="9" t="s">
        <v>65</v>
      </c>
      <c r="C20" s="19">
        <v>2.02123974359482E-3</v>
      </c>
      <c r="D20" s="9">
        <v>-460</v>
      </c>
      <c r="E20" s="52">
        <v>28.699999999999974</v>
      </c>
      <c r="H20" t="s">
        <v>19</v>
      </c>
      <c r="I20" t="s">
        <v>65</v>
      </c>
      <c r="J20" s="19">
        <v>8.5325339956558201E-3</v>
      </c>
      <c r="K20" s="9">
        <v>-460</v>
      </c>
      <c r="L20">
        <v>28.699999999999974</v>
      </c>
    </row>
    <row r="21" spans="1:12" x14ac:dyDescent="0.25">
      <c r="A21" s="9" t="s">
        <v>19</v>
      </c>
      <c r="B21" s="9" t="s">
        <v>66</v>
      </c>
      <c r="C21" s="19">
        <v>5.5848192218491098E-3</v>
      </c>
      <c r="D21" s="9">
        <v>-460</v>
      </c>
      <c r="E21" s="52">
        <v>79.3</v>
      </c>
      <c r="H21" t="s">
        <v>19</v>
      </c>
      <c r="I21" t="s">
        <v>66</v>
      </c>
      <c r="J21" s="19">
        <v>8.5325339956558201E-3</v>
      </c>
      <c r="K21" s="9">
        <v>-460</v>
      </c>
      <c r="L21">
        <v>79.3</v>
      </c>
    </row>
    <row r="22" spans="1:12" x14ac:dyDescent="0.25">
      <c r="A22" s="9" t="s">
        <v>19</v>
      </c>
      <c r="B22" s="9" t="s">
        <v>68</v>
      </c>
      <c r="C22" s="19">
        <v>1.09654016751817E-2</v>
      </c>
      <c r="D22" s="9">
        <v>-480</v>
      </c>
      <c r="E22" s="52">
        <v>155.70000000000005</v>
      </c>
      <c r="H22" t="s">
        <v>19</v>
      </c>
      <c r="I22" t="s">
        <v>68</v>
      </c>
      <c r="J22" s="19">
        <v>8.9035137345973795E-3</v>
      </c>
      <c r="K22" s="9">
        <v>-480</v>
      </c>
      <c r="L22">
        <v>155.70000000000005</v>
      </c>
    </row>
    <row r="23" spans="1:12" x14ac:dyDescent="0.25">
      <c r="A23" s="9" t="s">
        <v>19</v>
      </c>
      <c r="B23" s="9" t="s">
        <v>70</v>
      </c>
      <c r="C23" s="19">
        <v>5.84539716788747E-3</v>
      </c>
      <c r="D23" s="9">
        <v>-885</v>
      </c>
      <c r="E23" s="52">
        <v>83</v>
      </c>
      <c r="H23" t="s">
        <v>19</v>
      </c>
      <c r="I23" t="s">
        <v>70</v>
      </c>
      <c r="J23" s="19">
        <v>1.6415853448163899E-2</v>
      </c>
      <c r="K23" s="9">
        <v>-885</v>
      </c>
      <c r="L23">
        <v>83</v>
      </c>
    </row>
    <row r="24" spans="1:12" x14ac:dyDescent="0.25">
      <c r="A24" s="9" t="s">
        <v>19</v>
      </c>
      <c r="B24" s="9" t="s">
        <v>71</v>
      </c>
      <c r="C24" s="19">
        <v>1.4617014243313801E-2</v>
      </c>
      <c r="D24" s="9">
        <v>-391.7</v>
      </c>
      <c r="E24" s="52">
        <v>207.54999999999995</v>
      </c>
      <c r="H24" t="s">
        <v>19</v>
      </c>
      <c r="I24" t="s">
        <v>71</v>
      </c>
      <c r="J24" s="19">
        <v>7.2656381871704099E-3</v>
      </c>
      <c r="K24" s="9">
        <v>-391.7</v>
      </c>
      <c r="L24">
        <v>207.54999999999995</v>
      </c>
    </row>
    <row r="25" spans="1:12" x14ac:dyDescent="0.25">
      <c r="A25" s="9" t="s">
        <v>19</v>
      </c>
      <c r="B25" s="9" t="s">
        <v>72</v>
      </c>
      <c r="C25" s="19">
        <v>2.4550668105127401E-2</v>
      </c>
      <c r="D25" s="9">
        <v>-840</v>
      </c>
      <c r="E25" s="52">
        <v>348.6</v>
      </c>
      <c r="H25" t="s">
        <v>19</v>
      </c>
      <c r="I25" t="s">
        <v>72</v>
      </c>
      <c r="J25" s="19">
        <v>1.5581149035545401E-2</v>
      </c>
      <c r="K25" s="9">
        <v>-840</v>
      </c>
      <c r="L25">
        <v>348.6</v>
      </c>
    </row>
    <row r="26" spans="1:12" x14ac:dyDescent="0.25">
      <c r="A26" s="9" t="s">
        <v>19</v>
      </c>
      <c r="B26" s="9" t="s">
        <v>73</v>
      </c>
      <c r="C26" s="19">
        <v>1.66558606048842E-2</v>
      </c>
      <c r="D26" s="9">
        <v>-866.15</v>
      </c>
      <c r="E26" s="52">
        <v>236.50000000000003</v>
      </c>
      <c r="H26" t="s">
        <v>19</v>
      </c>
      <c r="I26" t="s">
        <v>73</v>
      </c>
      <c r="J26" s="19">
        <v>1.6066205044211499E-2</v>
      </c>
      <c r="K26" s="9">
        <v>-866.15</v>
      </c>
      <c r="L26">
        <v>236.50000000000003</v>
      </c>
    </row>
    <row r="27" spans="1:12" x14ac:dyDescent="0.25">
      <c r="A27" s="9" t="s">
        <v>19</v>
      </c>
      <c r="B27" s="9" t="s">
        <v>75</v>
      </c>
      <c r="C27" s="19">
        <v>1.6979822375634501E-2</v>
      </c>
      <c r="D27" s="9">
        <v>-577.4</v>
      </c>
      <c r="E27" s="52">
        <v>241.09999999999991</v>
      </c>
      <c r="H27" t="s">
        <v>19</v>
      </c>
      <c r="I27" t="s">
        <v>75</v>
      </c>
      <c r="J27" s="19">
        <v>1.07101850632428E-2</v>
      </c>
      <c r="K27" s="9">
        <v>-577.4</v>
      </c>
      <c r="L27">
        <v>241.09999999999991</v>
      </c>
    </row>
    <row r="28" spans="1:12" x14ac:dyDescent="0.25">
      <c r="A28" s="9" t="s">
        <v>19</v>
      </c>
      <c r="B28" s="9" t="s">
        <v>76</v>
      </c>
      <c r="C28" s="19">
        <v>1.0690738434762899E-2</v>
      </c>
      <c r="D28" s="9">
        <v>-1152.8</v>
      </c>
      <c r="E28" s="52">
        <v>151.80000000000007</v>
      </c>
      <c r="H28" t="s">
        <v>19</v>
      </c>
      <c r="I28" t="s">
        <v>76</v>
      </c>
      <c r="J28" s="19">
        <v>2.13832721525914E-2</v>
      </c>
      <c r="K28" s="9">
        <v>-1152.8</v>
      </c>
      <c r="L28">
        <v>151.80000000000007</v>
      </c>
    </row>
    <row r="29" spans="1:12" x14ac:dyDescent="0.25">
      <c r="A29" s="9" t="s">
        <v>19</v>
      </c>
      <c r="B29" s="9" t="s">
        <v>77</v>
      </c>
      <c r="C29" s="19">
        <v>8.8666928124943607E-3</v>
      </c>
      <c r="D29" s="9">
        <v>-421.4</v>
      </c>
      <c r="E29" s="52">
        <v>125.89999999999996</v>
      </c>
      <c r="H29" t="s">
        <v>19</v>
      </c>
      <c r="I29" t="s">
        <v>77</v>
      </c>
      <c r="J29" s="19">
        <v>7.8165430994986199E-3</v>
      </c>
      <c r="K29" s="9">
        <v>-421.4</v>
      </c>
      <c r="L29">
        <v>125.89999999999996</v>
      </c>
    </row>
    <row r="30" spans="1:12" x14ac:dyDescent="0.25">
      <c r="A30" s="9" t="s">
        <v>19</v>
      </c>
      <c r="B30" s="9" t="s">
        <v>79</v>
      </c>
      <c r="C30" s="19">
        <v>3.8558493366486601E-3</v>
      </c>
      <c r="D30" s="9">
        <v>-1425</v>
      </c>
      <c r="E30" s="52">
        <v>54.750000000000028</v>
      </c>
      <c r="H30" t="s">
        <v>19</v>
      </c>
      <c r="I30" t="s">
        <v>79</v>
      </c>
      <c r="J30" s="19">
        <v>2.6432306399585999E-2</v>
      </c>
      <c r="K30" s="9">
        <v>-1425</v>
      </c>
      <c r="L30">
        <v>54.750000000000028</v>
      </c>
    </row>
    <row r="31" spans="1:12" x14ac:dyDescent="0.25">
      <c r="A31" s="9" t="s">
        <v>19</v>
      </c>
      <c r="B31" s="9" t="s">
        <v>80</v>
      </c>
      <c r="C31" s="19">
        <v>2.2254765121113799E-3</v>
      </c>
      <c r="D31" s="9">
        <v>-450.4</v>
      </c>
      <c r="E31" s="52">
        <v>31.600000000000037</v>
      </c>
      <c r="H31" t="s">
        <v>19</v>
      </c>
      <c r="I31" t="s">
        <v>80</v>
      </c>
      <c r="J31" s="19">
        <v>8.3544637209638801E-3</v>
      </c>
      <c r="K31" s="9">
        <v>-450.4</v>
      </c>
      <c r="L31">
        <v>31.600000000000037</v>
      </c>
    </row>
    <row r="32" spans="1:12" x14ac:dyDescent="0.25">
      <c r="A32" s="9" t="s">
        <v>19</v>
      </c>
      <c r="B32" s="9" t="s">
        <v>81</v>
      </c>
      <c r="C32" s="19">
        <v>2.5353529884813101E-3</v>
      </c>
      <c r="D32" s="9">
        <v>-354</v>
      </c>
      <c r="E32" s="52">
        <v>35.999999999999979</v>
      </c>
      <c r="H32" t="s">
        <v>19</v>
      </c>
      <c r="I32" t="s">
        <v>81</v>
      </c>
      <c r="J32" s="19">
        <v>6.5663413792655702E-3</v>
      </c>
      <c r="K32" s="9">
        <v>-354</v>
      </c>
      <c r="L32">
        <v>35.999999999999979</v>
      </c>
    </row>
    <row r="33" spans="1:12" x14ac:dyDescent="0.25">
      <c r="A33" s="9" t="s">
        <v>19</v>
      </c>
      <c r="B33" s="9" t="s">
        <v>83</v>
      </c>
      <c r="C33" s="19">
        <v>3.0846794693189301E-2</v>
      </c>
      <c r="D33" s="9">
        <v>-355</v>
      </c>
      <c r="E33" s="52">
        <v>438</v>
      </c>
      <c r="H33" t="s">
        <v>19</v>
      </c>
      <c r="I33" t="s">
        <v>83</v>
      </c>
      <c r="J33" s="19">
        <v>6.58489036621265E-3</v>
      </c>
      <c r="K33" s="9">
        <v>-355</v>
      </c>
      <c r="L33">
        <v>438</v>
      </c>
    </row>
    <row r="34" spans="1:12" x14ac:dyDescent="0.25">
      <c r="A34" s="9" t="s">
        <v>19</v>
      </c>
      <c r="B34" s="9" t="s">
        <v>84</v>
      </c>
      <c r="C34" s="19">
        <v>1.75925326811842E-2</v>
      </c>
      <c r="D34" s="9">
        <v>-399.9</v>
      </c>
      <c r="E34" s="52">
        <v>249.79999999999995</v>
      </c>
      <c r="H34" t="s">
        <v>19</v>
      </c>
      <c r="I34" t="s">
        <v>84</v>
      </c>
      <c r="J34" s="19">
        <v>7.4177398801364399E-3</v>
      </c>
      <c r="K34" s="9">
        <v>-399.9</v>
      </c>
      <c r="L34">
        <v>249.79999999999995</v>
      </c>
    </row>
    <row r="35" spans="1:12" x14ac:dyDescent="0.25">
      <c r="A35" s="9" t="s">
        <v>19</v>
      </c>
      <c r="B35" s="9" t="s">
        <v>85</v>
      </c>
      <c r="C35" s="19">
        <v>2.11279415706776E-2</v>
      </c>
      <c r="D35" s="9">
        <v>-769.3</v>
      </c>
      <c r="E35" s="52">
        <v>300</v>
      </c>
      <c r="H35" t="s">
        <v>19</v>
      </c>
      <c r="I35" t="s">
        <v>85</v>
      </c>
      <c r="J35" s="19">
        <v>1.4269735658387E-2</v>
      </c>
      <c r="K35" s="9">
        <v>-769.3</v>
      </c>
      <c r="L35">
        <v>300</v>
      </c>
    </row>
    <row r="36" spans="1:12" x14ac:dyDescent="0.25">
      <c r="A36" s="9" t="s">
        <v>19</v>
      </c>
      <c r="B36" s="9" t="s">
        <v>86</v>
      </c>
      <c r="C36" s="19">
        <v>1.7870717245198099E-2</v>
      </c>
      <c r="D36" s="9">
        <v>-3037.2</v>
      </c>
      <c r="E36" s="52">
        <v>253.74999999999989</v>
      </c>
      <c r="H36" t="s">
        <v>19</v>
      </c>
      <c r="I36" t="s">
        <v>86</v>
      </c>
      <c r="J36" s="19">
        <v>5.6336983155664898E-2</v>
      </c>
      <c r="K36" s="9">
        <v>-3037.2</v>
      </c>
      <c r="L36">
        <v>253.74999999999989</v>
      </c>
    </row>
    <row r="37" spans="1:12" x14ac:dyDescent="0.25">
      <c r="A37" s="9" t="s">
        <v>19</v>
      </c>
      <c r="B37" s="9" t="s">
        <v>87</v>
      </c>
      <c r="C37" s="19">
        <v>5.7291934892487401E-3</v>
      </c>
      <c r="D37" s="9">
        <v>-475.15</v>
      </c>
      <c r="E37" s="52">
        <v>81.34999999999998</v>
      </c>
      <c r="H37" t="s">
        <v>19</v>
      </c>
      <c r="I37" t="s">
        <v>87</v>
      </c>
      <c r="J37" s="19">
        <v>8.8135511479040599E-3</v>
      </c>
      <c r="K37" s="9">
        <v>-475.15</v>
      </c>
      <c r="L37">
        <v>81.34999999999998</v>
      </c>
    </row>
    <row r="38" spans="1:12" x14ac:dyDescent="0.25">
      <c r="A38" s="9" t="s">
        <v>19</v>
      </c>
      <c r="B38" s="9" t="s">
        <v>90</v>
      </c>
      <c r="C38" s="19">
        <v>5.7820133431754298E-3</v>
      </c>
      <c r="D38" s="9">
        <v>-290</v>
      </c>
      <c r="E38" s="52">
        <v>82.100000000000009</v>
      </c>
      <c r="H38" t="s">
        <v>19</v>
      </c>
      <c r="I38" t="s">
        <v>90</v>
      </c>
      <c r="J38" s="19">
        <v>5.3792062146525901E-3</v>
      </c>
      <c r="K38" s="9">
        <v>-290</v>
      </c>
      <c r="L38">
        <v>82.100000000000009</v>
      </c>
    </row>
    <row r="39" spans="1:12" x14ac:dyDescent="0.25">
      <c r="A39" s="9" t="s">
        <v>19</v>
      </c>
      <c r="B39" s="9" t="s">
        <v>91</v>
      </c>
      <c r="C39" s="19">
        <v>3.5213235951129301E-3</v>
      </c>
      <c r="D39" s="9">
        <v>-295</v>
      </c>
      <c r="E39" s="52">
        <v>50</v>
      </c>
      <c r="H39" t="s">
        <v>19</v>
      </c>
      <c r="I39" t="s">
        <v>91</v>
      </c>
      <c r="J39" s="19">
        <v>5.4719511493879804E-3</v>
      </c>
      <c r="K39" s="9">
        <v>-295</v>
      </c>
      <c r="L39">
        <v>50</v>
      </c>
    </row>
    <row r="40" spans="1:12" x14ac:dyDescent="0.25">
      <c r="A40" s="9" t="s">
        <v>19</v>
      </c>
      <c r="B40" s="9" t="s">
        <v>93</v>
      </c>
      <c r="C40" s="19">
        <v>1.6057235593715E-2</v>
      </c>
      <c r="D40" s="9">
        <v>-1402.7</v>
      </c>
      <c r="E40" s="52">
        <v>228.0000000000002</v>
      </c>
      <c r="H40" t="s">
        <v>19</v>
      </c>
      <c r="I40" t="s">
        <v>93</v>
      </c>
      <c r="J40" s="19">
        <v>2.6018663990666099E-2</v>
      </c>
      <c r="K40" s="9">
        <v>-1402.7</v>
      </c>
      <c r="L40">
        <v>228.0000000000002</v>
      </c>
    </row>
    <row r="41" spans="1:12" x14ac:dyDescent="0.25">
      <c r="A41" s="9" t="s">
        <v>19</v>
      </c>
      <c r="B41" s="9" t="s">
        <v>96</v>
      </c>
      <c r="C41" s="19">
        <v>2.0212397435948201E-2</v>
      </c>
      <c r="D41" s="9">
        <v>-400</v>
      </c>
      <c r="E41" s="52">
        <v>287</v>
      </c>
      <c r="H41" t="s">
        <v>19</v>
      </c>
      <c r="I41" t="s">
        <v>96</v>
      </c>
      <c r="J41" s="19">
        <v>7.4195947788311496E-3</v>
      </c>
      <c r="K41" s="9">
        <v>-400</v>
      </c>
      <c r="L41">
        <v>287</v>
      </c>
    </row>
    <row r="42" spans="1:12" x14ac:dyDescent="0.25">
      <c r="A42" s="9" t="s">
        <v>19</v>
      </c>
      <c r="B42" s="9" t="s">
        <v>98</v>
      </c>
      <c r="C42" s="19">
        <v>1.0056900187642499E-2</v>
      </c>
      <c r="D42" s="9">
        <v>-872.1</v>
      </c>
      <c r="E42" s="52">
        <v>142.80000000000001</v>
      </c>
      <c r="H42" t="s">
        <v>19</v>
      </c>
      <c r="I42" t="s">
        <v>98</v>
      </c>
      <c r="J42" s="19">
        <v>1.6176571516546601E-2</v>
      </c>
      <c r="K42" s="9">
        <v>-872.1</v>
      </c>
      <c r="L42">
        <v>142.80000000000001</v>
      </c>
    </row>
    <row r="43" spans="1:12" x14ac:dyDescent="0.25">
      <c r="A43" s="9" t="s">
        <v>19</v>
      </c>
      <c r="B43" s="9" t="s">
        <v>99</v>
      </c>
      <c r="C43" s="19">
        <v>9.8878766550771092E-3</v>
      </c>
      <c r="D43" s="9">
        <v>-1190.5999999999999</v>
      </c>
      <c r="E43" s="52">
        <v>140.39999999999998</v>
      </c>
      <c r="H43" t="s">
        <v>19</v>
      </c>
      <c r="I43" t="s">
        <v>99</v>
      </c>
      <c r="J43" s="19">
        <v>2.2084423859190901E-2</v>
      </c>
      <c r="K43" s="9">
        <v>-1190.5999999999999</v>
      </c>
      <c r="L43">
        <v>140.39999999999998</v>
      </c>
    </row>
    <row r="44" spans="1:12" x14ac:dyDescent="0.25">
      <c r="A44" s="9" t="s">
        <v>20</v>
      </c>
      <c r="B44" s="9" t="s">
        <v>37</v>
      </c>
      <c r="C44" s="19">
        <v>2.78888828732944E-3</v>
      </c>
      <c r="D44" s="9">
        <v>-1245.6500000000001</v>
      </c>
      <c r="E44" s="52">
        <v>-39.599999999999937</v>
      </c>
      <c r="H44" t="s">
        <v>20</v>
      </c>
      <c r="I44" t="s">
        <v>37</v>
      </c>
      <c r="J44" s="19">
        <v>2.3105545590627601E-2</v>
      </c>
      <c r="K44" s="9">
        <v>-1245.6500000000001</v>
      </c>
      <c r="L44">
        <v>-39.599999999999937</v>
      </c>
    </row>
    <row r="45" spans="1:12" x14ac:dyDescent="0.25">
      <c r="A45" s="9" t="s">
        <v>20</v>
      </c>
      <c r="B45" s="9" t="s">
        <v>39</v>
      </c>
      <c r="C45" s="19">
        <v>8.8460050363730804E-3</v>
      </c>
      <c r="D45" s="9">
        <v>-498.75</v>
      </c>
      <c r="E45" s="52">
        <v>-125.60625000000003</v>
      </c>
      <c r="H45" t="s">
        <v>20</v>
      </c>
      <c r="I45" t="s">
        <v>39</v>
      </c>
      <c r="J45" s="19">
        <v>9.2513072398550892E-3</v>
      </c>
      <c r="K45" s="9">
        <v>-498.75</v>
      </c>
      <c r="L45">
        <v>-125.60625000000003</v>
      </c>
    </row>
    <row r="46" spans="1:12" x14ac:dyDescent="0.25">
      <c r="A46" s="9" t="s">
        <v>20</v>
      </c>
      <c r="B46" s="9" t="s">
        <v>46</v>
      </c>
      <c r="C46" s="19">
        <v>1.40148679085495E-2</v>
      </c>
      <c r="D46" s="9">
        <v>-475</v>
      </c>
      <c r="E46" s="52">
        <v>-199.00000000000003</v>
      </c>
      <c r="H46" t="s">
        <v>20</v>
      </c>
      <c r="I46" t="s">
        <v>46</v>
      </c>
      <c r="J46" s="19">
        <v>8.8107687998619892E-3</v>
      </c>
      <c r="K46" s="9">
        <v>-475</v>
      </c>
      <c r="L46">
        <v>-199.00000000000003</v>
      </c>
    </row>
    <row r="47" spans="1:12" x14ac:dyDescent="0.25">
      <c r="A47" s="9" t="s">
        <v>20</v>
      </c>
      <c r="B47" s="9" t="s">
        <v>47</v>
      </c>
      <c r="C47" s="19">
        <v>9.3667207630003795E-4</v>
      </c>
      <c r="D47" s="9">
        <v>-987.5</v>
      </c>
      <c r="E47" s="52">
        <v>-13.299999999999983</v>
      </c>
      <c r="H47" t="s">
        <v>20</v>
      </c>
      <c r="I47" t="s">
        <v>47</v>
      </c>
      <c r="J47" s="19">
        <v>1.8317124610239401E-2</v>
      </c>
      <c r="K47" s="9">
        <v>-987.5</v>
      </c>
      <c r="L47">
        <v>-13.299999999999983</v>
      </c>
    </row>
    <row r="48" spans="1:12" x14ac:dyDescent="0.25">
      <c r="A48" s="9" t="s">
        <v>20</v>
      </c>
      <c r="B48" s="9" t="s">
        <v>48</v>
      </c>
      <c r="C48" s="19">
        <v>6.2855626172765803E-3</v>
      </c>
      <c r="D48" s="9">
        <v>-499.95</v>
      </c>
      <c r="E48" s="52">
        <v>-89.249999999999986</v>
      </c>
      <c r="H48" t="s">
        <v>20</v>
      </c>
      <c r="I48" t="s">
        <v>48</v>
      </c>
      <c r="J48" s="19">
        <v>9.2735660241915902E-3</v>
      </c>
      <c r="K48" s="9">
        <v>-499.95</v>
      </c>
      <c r="L48">
        <v>-89.249999999999986</v>
      </c>
    </row>
    <row r="49" spans="1:12" x14ac:dyDescent="0.25">
      <c r="A49" s="9" t="s">
        <v>20</v>
      </c>
      <c r="B49" s="9" t="s">
        <v>52</v>
      </c>
      <c r="C49" s="19">
        <v>2.2888603368234001E-3</v>
      </c>
      <c r="D49" s="9">
        <v>-1895.1</v>
      </c>
      <c r="E49" s="52">
        <v>-32.499999999999929</v>
      </c>
      <c r="H49" t="s">
        <v>20</v>
      </c>
      <c r="I49" t="s">
        <v>52</v>
      </c>
      <c r="J49" s="19">
        <v>3.5152185163407297E-2</v>
      </c>
      <c r="K49" s="9">
        <v>-1895.1</v>
      </c>
      <c r="L49">
        <v>-32.499999999999929</v>
      </c>
    </row>
    <row r="50" spans="1:12" x14ac:dyDescent="0.25">
      <c r="A50" s="9" t="s">
        <v>20</v>
      </c>
      <c r="B50" s="9" t="s">
        <v>54</v>
      </c>
      <c r="C50" s="19">
        <v>5.2115589207671403E-3</v>
      </c>
      <c r="D50" s="9">
        <v>-502.5</v>
      </c>
      <c r="E50" s="52">
        <v>-74.000000000000028</v>
      </c>
      <c r="H50" t="s">
        <v>20</v>
      </c>
      <c r="I50" t="s">
        <v>54</v>
      </c>
      <c r="J50" s="19">
        <v>9.3208659409066402E-3</v>
      </c>
      <c r="K50" s="9">
        <v>-502.5</v>
      </c>
      <c r="L50">
        <v>-74.000000000000028</v>
      </c>
    </row>
    <row r="51" spans="1:12" x14ac:dyDescent="0.25">
      <c r="A51" s="9" t="s">
        <v>20</v>
      </c>
      <c r="B51" s="9" t="s">
        <v>55</v>
      </c>
      <c r="C51" s="19">
        <v>9.9371751854086896E-3</v>
      </c>
      <c r="D51" s="9">
        <v>-881.3</v>
      </c>
      <c r="E51" s="52">
        <v>-141.1</v>
      </c>
      <c r="H51" t="s">
        <v>20</v>
      </c>
      <c r="I51" t="s">
        <v>55</v>
      </c>
      <c r="J51" s="19">
        <v>1.6347222196459701E-2</v>
      </c>
      <c r="K51" s="9">
        <v>-881.3</v>
      </c>
      <c r="L51">
        <v>-141.1</v>
      </c>
    </row>
    <row r="52" spans="1:12" x14ac:dyDescent="0.25">
      <c r="A52" s="9" t="s">
        <v>20</v>
      </c>
      <c r="B52" s="9" t="s">
        <v>57</v>
      </c>
      <c r="C52" s="19">
        <v>1.41134649692126E-2</v>
      </c>
      <c r="D52" s="9">
        <v>-501.6</v>
      </c>
      <c r="E52" s="52">
        <v>-200.39999999999998</v>
      </c>
      <c r="H52" t="s">
        <v>20</v>
      </c>
      <c r="I52" t="s">
        <v>57</v>
      </c>
      <c r="J52" s="19">
        <v>9.3041718526542701E-3</v>
      </c>
      <c r="K52" s="9">
        <v>-501.6</v>
      </c>
      <c r="L52">
        <v>-200.39999999999998</v>
      </c>
    </row>
    <row r="53" spans="1:12" x14ac:dyDescent="0.25">
      <c r="A53" s="9" t="s">
        <v>20</v>
      </c>
      <c r="B53" s="9" t="s">
        <v>58</v>
      </c>
      <c r="C53" s="19">
        <v>1.5352970874692401E-3</v>
      </c>
      <c r="D53" s="9">
        <v>-411.5</v>
      </c>
      <c r="E53" s="52">
        <v>-21.799999999999997</v>
      </c>
      <c r="H53" t="s">
        <v>20</v>
      </c>
      <c r="I53" t="s">
        <v>58</v>
      </c>
      <c r="J53" s="19">
        <v>7.6329081287225499E-3</v>
      </c>
      <c r="K53" s="9">
        <v>-411.5</v>
      </c>
      <c r="L53">
        <v>-21.799999999999997</v>
      </c>
    </row>
    <row r="54" spans="1:12" x14ac:dyDescent="0.25">
      <c r="A54" s="9" t="s">
        <v>20</v>
      </c>
      <c r="B54" s="9" t="s">
        <v>59</v>
      </c>
      <c r="C54" s="19">
        <v>2.09730033324926E-2</v>
      </c>
      <c r="D54" s="9">
        <v>-1890.75</v>
      </c>
      <c r="E54" s="52">
        <v>-297.8</v>
      </c>
      <c r="H54" t="s">
        <v>20</v>
      </c>
      <c r="I54" t="s">
        <v>59</v>
      </c>
      <c r="J54" s="19">
        <v>3.5071497070187502E-2</v>
      </c>
      <c r="K54" s="9">
        <v>-1890.75</v>
      </c>
      <c r="L54">
        <v>-297.8</v>
      </c>
    </row>
    <row r="55" spans="1:12" x14ac:dyDescent="0.25">
      <c r="A55" s="9" t="s">
        <v>20</v>
      </c>
      <c r="B55" s="9" t="s">
        <v>67</v>
      </c>
      <c r="C55" s="19">
        <v>7.3208317542397799E-3</v>
      </c>
      <c r="D55" s="9">
        <v>-468.45</v>
      </c>
      <c r="E55" s="52">
        <v>-103.95</v>
      </c>
      <c r="H55" t="s">
        <v>20</v>
      </c>
      <c r="I55" t="s">
        <v>67</v>
      </c>
      <c r="J55" s="19">
        <v>8.6892729353586409E-3</v>
      </c>
      <c r="K55" s="9">
        <v>-468.45</v>
      </c>
      <c r="L55">
        <v>-103.95</v>
      </c>
    </row>
    <row r="56" spans="1:12" x14ac:dyDescent="0.25">
      <c r="A56" s="9" t="s">
        <v>20</v>
      </c>
      <c r="B56" s="9" t="s">
        <v>69</v>
      </c>
      <c r="C56" s="19">
        <v>3.1586272648163002E-3</v>
      </c>
      <c r="D56" s="9">
        <v>-466.7</v>
      </c>
      <c r="E56" s="52">
        <v>-44.849999999999966</v>
      </c>
      <c r="G56" t="s">
        <v>102</v>
      </c>
      <c r="H56" t="s">
        <v>20</v>
      </c>
      <c r="I56" t="s">
        <v>69</v>
      </c>
      <c r="J56" s="19">
        <v>8.6568122082012495E-3</v>
      </c>
      <c r="K56" s="9">
        <v>-466.7</v>
      </c>
      <c r="L56">
        <v>-44.849999999999966</v>
      </c>
    </row>
    <row r="57" spans="1:12" x14ac:dyDescent="0.25">
      <c r="A57" s="9" t="s">
        <v>20</v>
      </c>
      <c r="B57" s="9" t="s">
        <v>74</v>
      </c>
      <c r="C57" s="19">
        <v>8.3948354507492294E-3</v>
      </c>
      <c r="D57" s="9">
        <v>-1152.45</v>
      </c>
      <c r="E57" s="52">
        <v>-119.20000000000002</v>
      </c>
      <c r="H57" t="s">
        <v>20</v>
      </c>
      <c r="I57" t="s">
        <v>74</v>
      </c>
      <c r="J57" s="19">
        <v>2.1376780007159899E-2</v>
      </c>
      <c r="K57" s="9">
        <v>-1152.45</v>
      </c>
      <c r="L57">
        <v>-119.20000000000002</v>
      </c>
    </row>
    <row r="58" spans="1:12" x14ac:dyDescent="0.25">
      <c r="A58" s="9" t="s">
        <v>20</v>
      </c>
      <c r="B58" s="9" t="s">
        <v>78</v>
      </c>
      <c r="C58" s="19">
        <v>1.46909620388111E-2</v>
      </c>
      <c r="D58" s="9">
        <v>-1462.88</v>
      </c>
      <c r="E58" s="52">
        <v>-208.5999999999998</v>
      </c>
      <c r="H58" t="s">
        <v>20</v>
      </c>
      <c r="I58" t="s">
        <v>78</v>
      </c>
      <c r="J58" s="19">
        <v>2.7134942025141301E-2</v>
      </c>
      <c r="K58" s="9">
        <v>-1462.88</v>
      </c>
      <c r="L58">
        <v>-208.5999999999998</v>
      </c>
    </row>
    <row r="59" spans="1:12" x14ac:dyDescent="0.25">
      <c r="A59" s="9" t="s">
        <v>20</v>
      </c>
      <c r="B59" s="9" t="s">
        <v>82</v>
      </c>
      <c r="C59" s="19">
        <v>2.2649153363766401E-2</v>
      </c>
      <c r="D59" s="9">
        <v>-510</v>
      </c>
      <c r="E59" s="52">
        <v>-321.59999999999997</v>
      </c>
      <c r="H59" t="s">
        <v>20</v>
      </c>
      <c r="I59" t="s">
        <v>82</v>
      </c>
      <c r="J59" s="19">
        <v>9.4599833430097195E-3</v>
      </c>
      <c r="K59" s="9">
        <v>-510</v>
      </c>
      <c r="L59">
        <v>-321.59999999999997</v>
      </c>
    </row>
    <row r="60" spans="1:12" x14ac:dyDescent="0.25">
      <c r="A60" s="9" t="s">
        <v>20</v>
      </c>
      <c r="B60" s="9" t="s">
        <v>88</v>
      </c>
      <c r="C60" s="19">
        <v>1.7324912087955599E-3</v>
      </c>
      <c r="D60" s="9">
        <v>-978.1</v>
      </c>
      <c r="E60" s="52">
        <v>-24.599999999999902</v>
      </c>
      <c r="H60" t="s">
        <v>20</v>
      </c>
      <c r="I60" t="s">
        <v>88</v>
      </c>
      <c r="J60" s="19">
        <v>1.81427641329369E-2</v>
      </c>
      <c r="K60" s="9">
        <v>-978.1</v>
      </c>
      <c r="L60">
        <v>-24.599999999999902</v>
      </c>
    </row>
    <row r="61" spans="1:12" x14ac:dyDescent="0.25">
      <c r="A61" s="9" t="s">
        <v>20</v>
      </c>
      <c r="B61" s="9" t="s">
        <v>89</v>
      </c>
      <c r="C61" s="19">
        <v>5.2749427454791701E-3</v>
      </c>
      <c r="D61" s="9">
        <v>-479.5</v>
      </c>
      <c r="E61" s="52">
        <v>-74.899999999999963</v>
      </c>
      <c r="H61" t="s">
        <v>20</v>
      </c>
      <c r="I61" t="s">
        <v>89</v>
      </c>
      <c r="J61" s="19">
        <v>8.8942392411238396E-3</v>
      </c>
      <c r="K61" s="9">
        <v>-479.5</v>
      </c>
      <c r="L61">
        <v>-74.899999999999963</v>
      </c>
    </row>
    <row r="62" spans="1:12" x14ac:dyDescent="0.25">
      <c r="A62" s="9" t="s">
        <v>20</v>
      </c>
      <c r="B62" s="9" t="s">
        <v>92</v>
      </c>
      <c r="C62" s="19">
        <v>1.02047957786373E-2</v>
      </c>
      <c r="D62" s="9">
        <v>-986.55</v>
      </c>
      <c r="E62" s="52">
        <v>-144.90000000000006</v>
      </c>
      <c r="H62" t="s">
        <v>20</v>
      </c>
      <c r="I62" t="s">
        <v>92</v>
      </c>
      <c r="J62" s="19">
        <v>1.8299503072639701E-2</v>
      </c>
      <c r="K62" s="9">
        <v>-986.55</v>
      </c>
      <c r="L62">
        <v>-144.90000000000006</v>
      </c>
    </row>
    <row r="63" spans="1:12" x14ac:dyDescent="0.25">
      <c r="A63" s="9" t="s">
        <v>20</v>
      </c>
      <c r="B63" s="9" t="s">
        <v>94</v>
      </c>
      <c r="C63" s="19">
        <v>8.2891957428958309E-3</v>
      </c>
      <c r="D63" s="9">
        <v>-1489.72</v>
      </c>
      <c r="E63" s="52">
        <v>-117.69999999999986</v>
      </c>
      <c r="H63" t="s">
        <v>20</v>
      </c>
      <c r="I63" t="s">
        <v>94</v>
      </c>
      <c r="J63" s="19">
        <v>2.76327968348009E-2</v>
      </c>
      <c r="K63" s="9">
        <v>-1489.72</v>
      </c>
      <c r="L63">
        <v>-117.69999999999986</v>
      </c>
    </row>
    <row r="64" spans="1:12" x14ac:dyDescent="0.25">
      <c r="A64" s="9" t="s">
        <v>20</v>
      </c>
      <c r="B64" s="9" t="s">
        <v>95</v>
      </c>
      <c r="C64" s="19">
        <v>5.1362025958317202E-2</v>
      </c>
      <c r="D64" s="9">
        <v>-1399.25</v>
      </c>
      <c r="E64" s="52">
        <v>-729.3</v>
      </c>
      <c r="H64" t="s">
        <v>20</v>
      </c>
      <c r="I64" t="s">
        <v>95</v>
      </c>
      <c r="J64" s="19">
        <v>2.5954669985698699E-2</v>
      </c>
      <c r="K64" s="9">
        <v>-1399.25</v>
      </c>
      <c r="L64">
        <v>-729.3</v>
      </c>
    </row>
    <row r="65" spans="1:12" x14ac:dyDescent="0.25">
      <c r="A65" s="9" t="s">
        <v>20</v>
      </c>
      <c r="B65" s="9" t="s">
        <v>97</v>
      </c>
      <c r="C65" s="19">
        <v>3.47906771197158E-3</v>
      </c>
      <c r="D65" s="9">
        <v>-142.5</v>
      </c>
      <c r="E65" s="52">
        <v>-49.399999999999991</v>
      </c>
      <c r="H65" t="s">
        <v>20</v>
      </c>
      <c r="I65" t="s">
        <v>97</v>
      </c>
      <c r="J65" s="19">
        <v>2.6432306399585999E-3</v>
      </c>
      <c r="K65" s="9">
        <v>-142.5</v>
      </c>
      <c r="L65">
        <v>-49.399999999999991</v>
      </c>
    </row>
    <row r="66" spans="1:12" x14ac:dyDescent="0.25">
      <c r="A66" s="9" t="s">
        <v>32</v>
      </c>
      <c r="B66" s="9" t="s">
        <v>45</v>
      </c>
      <c r="C66" s="19">
        <v>0</v>
      </c>
      <c r="D66" s="9">
        <v>217.62</v>
      </c>
      <c r="E66" s="52">
        <v>0</v>
      </c>
      <c r="H66" t="s">
        <v>32</v>
      </c>
      <c r="I66" t="s">
        <v>45</v>
      </c>
      <c r="J66" s="19"/>
      <c r="K66" s="9">
        <v>217.62</v>
      </c>
      <c r="L66">
        <v>0</v>
      </c>
    </row>
    <row r="67" spans="1:12" x14ac:dyDescent="0.25">
      <c r="A67" s="9" t="s">
        <v>32</v>
      </c>
      <c r="B67" s="9" t="s">
        <v>111</v>
      </c>
      <c r="C67" s="19">
        <v>0</v>
      </c>
      <c r="D67" s="9">
        <v>1002</v>
      </c>
      <c r="E67" s="52">
        <v>0</v>
      </c>
      <c r="H67" t="s">
        <v>32</v>
      </c>
      <c r="I67" t="s">
        <v>111</v>
      </c>
      <c r="J67" s="19"/>
      <c r="K67" s="9">
        <v>1002</v>
      </c>
      <c r="L67">
        <v>0</v>
      </c>
    </row>
  </sheetData>
  <mergeCells count="2">
    <mergeCell ref="N9:U12"/>
    <mergeCell ref="N1:U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6"/>
  <sheetViews>
    <sheetView workbookViewId="0">
      <pane ySplit="1" topLeftCell="A2" activePane="bottomLeft" state="frozen"/>
      <selection pane="bottomLeft" activeCell="K22" sqref="K22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6.42578125" bestFit="1" customWidth="1"/>
    <col min="4" max="4" width="8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2" width="15.42578125" bestFit="1" customWidth="1"/>
    <col min="13" max="14" width="14.85546875" bestFit="1" customWidth="1"/>
    <col min="15" max="15" width="16.140625" bestFit="1" customWidth="1"/>
    <col min="16" max="20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106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45810.511423611111</v>
      </c>
      <c r="B2" t="s">
        <v>35</v>
      </c>
      <c r="C2">
        <v>205</v>
      </c>
      <c r="D2">
        <v>2.44</v>
      </c>
      <c r="E2">
        <v>-500.2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2.9</v>
      </c>
      <c r="H2" s="2">
        <f>IFERROR((trades[[#This Row],[Current Price]]-trades[[#This Row],[Avg Price]])*SUMIF(trades[Symbol],trades[[#This Row],[Symbol]],trades[Qty]),"")</f>
        <v>415.85999999999973</v>
      </c>
      <c r="I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" spans="1:9" x14ac:dyDescent="0.25">
      <c r="A3" s="1">
        <v>45806.430648148147</v>
      </c>
      <c r="B3" t="s">
        <v>35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2.9</v>
      </c>
      <c r="H3" s="2">
        <f>IFERROR((trades[[#This Row],[Current Price]]-trades[[#This Row],[Avg Price]])*SUMIF(trades[Symbol],trades[[#This Row],[Symbol]],trades[Qty]),"")</f>
        <v>415.85999999999973</v>
      </c>
      <c r="I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" spans="1:9" x14ac:dyDescent="0.25">
      <c r="A4" s="1">
        <v>45782.395833333336</v>
      </c>
      <c r="B4" t="s">
        <v>35</v>
      </c>
      <c r="C4">
        <v>200</v>
      </c>
      <c r="D4">
        <v>2.4900000000000002</v>
      </c>
      <c r="E4">
        <v>-498.00000000000006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2.9</v>
      </c>
      <c r="H4" s="2">
        <f>IFERROR((trades[[#This Row],[Current Price]]-trades[[#This Row],[Avg Price]])*SUMIF(trades[Symbol],trades[[#This Row],[Symbol]],trades[Qty]),"")</f>
        <v>415.85999999999973</v>
      </c>
      <c r="I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" spans="1:9" x14ac:dyDescent="0.25">
      <c r="A5" s="1">
        <v>45874.395891203705</v>
      </c>
      <c r="B5" t="s">
        <v>35</v>
      </c>
      <c r="C5">
        <v>225</v>
      </c>
      <c r="D5">
        <v>2.2000000000000002</v>
      </c>
      <c r="E5">
        <v>-495.00000000000006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2.9</v>
      </c>
      <c r="H5" s="2">
        <f>IFERROR((trades[[#This Row],[Current Price]]-trades[[#This Row],[Avg Price]])*SUMIF(trades[Symbol],trades[[#This Row],[Symbol]],trades[Qty]),"")</f>
        <v>415.85999999999973</v>
      </c>
      <c r="I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" spans="1:9" x14ac:dyDescent="0.25">
      <c r="A6" s="1">
        <v>45874.395833333336</v>
      </c>
      <c r="B6" t="s">
        <v>36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84.37</v>
      </c>
      <c r="H6" s="2">
        <f>IFERROR((trades[[#This Row],[Current Price]]-trades[[#This Row],[Avg Price]])*SUMIF(trades[Symbol],trades[[#This Row],[Symbol]],trades[Qty]),"")</f>
        <v>21.850000000000023</v>
      </c>
      <c r="I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" spans="1:9" x14ac:dyDescent="0.25">
      <c r="A7" s="1">
        <v>45937.395856481482</v>
      </c>
      <c r="B7" t="s">
        <v>37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241.21</v>
      </c>
      <c r="H7" s="2">
        <f>IFERROR((trades[[#This Row],[Current Price]]-trades[[#This Row],[Avg Price]])*SUMIF(trades[Symbol],trades[[#This Row],[Symbol]],trades[Qty]),"")</f>
        <v>-39.60000000000008</v>
      </c>
      <c r="I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" spans="1:9" x14ac:dyDescent="0.25">
      <c r="A8" s="1">
        <v>45806.672719907408</v>
      </c>
      <c r="B8" t="s">
        <v>38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24.02</v>
      </c>
      <c r="H8" s="2">
        <f>IFERROR((trades[[#This Row],[Current Price]]-trades[[#This Row],[Avg Price]])*SUMIF(trades[Symbol],trades[[#This Row],[Symbol]],trades[Qty]),"")</f>
        <v>680</v>
      </c>
      <c r="I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" spans="1:9" x14ac:dyDescent="0.25">
      <c r="A9" s="1">
        <v>45594.434918981482</v>
      </c>
      <c r="B9" t="s">
        <v>39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0.99504999999999999</v>
      </c>
      <c r="H9" s="2">
        <f>IFERROR((trades[[#This Row],[Current Price]]-trades[[#This Row],[Avg Price]])*SUMIF(trades[Symbol],trades[[#This Row],[Symbol]],trades[Qty]),"")</f>
        <v>-125.60625000000003</v>
      </c>
      <c r="I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" spans="1:9" x14ac:dyDescent="0.25">
      <c r="A10" s="1">
        <v>45782.291747685187</v>
      </c>
      <c r="B10" t="s">
        <v>40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59.06</v>
      </c>
      <c r="H10" s="2">
        <f>IFERROR((trades[[#This Row],[Current Price]]-trades[[#This Row],[Avg Price]])*SUMIF(trades[Symbol],trades[[#This Row],[Symbol]],trades[Qty]),"")</f>
        <v>201.1</v>
      </c>
      <c r="I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" spans="1:9" x14ac:dyDescent="0.25">
      <c r="A11" s="1">
        <v>45874.39607638889</v>
      </c>
      <c r="B11" t="s">
        <v>41</v>
      </c>
      <c r="C11">
        <v>5</v>
      </c>
      <c r="D11">
        <v>70</v>
      </c>
      <c r="E11">
        <v>-350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69.89</v>
      </c>
      <c r="H11" s="2">
        <f>IFERROR((trades[[#This Row],[Current Price]]-trades[[#This Row],[Avg Price]])*SUMIF(trades[Symbol],trades[[#This Row],[Symbol]],trades[Qty]),"")</f>
        <v>157.89999999999992</v>
      </c>
      <c r="I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" spans="1:9" x14ac:dyDescent="0.25">
      <c r="A12" s="1">
        <v>45806.423750000002</v>
      </c>
      <c r="B12" t="s">
        <v>41</v>
      </c>
      <c r="C12">
        <v>5</v>
      </c>
      <c r="D12">
        <v>65.98</v>
      </c>
      <c r="E12">
        <v>-329.90000000000003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69.89</v>
      </c>
      <c r="H12" s="2">
        <f>IFERROR((trades[[#This Row],[Current Price]]-trades[[#This Row],[Avg Price]])*SUMIF(trades[Symbol],trades[[#This Row],[Symbol]],trades[Qty]),"")</f>
        <v>157.89999999999992</v>
      </c>
      <c r="I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" spans="1:9" x14ac:dyDescent="0.25">
      <c r="A13" s="1">
        <v>45750.44425925926</v>
      </c>
      <c r="B13" t="s">
        <v>41</v>
      </c>
      <c r="C13">
        <v>10</v>
      </c>
      <c r="D13">
        <v>56</v>
      </c>
      <c r="E13">
        <v>-560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69.89</v>
      </c>
      <c r="H13" s="2">
        <f>IFERROR((trades[[#This Row],[Current Price]]-trades[[#This Row],[Avg Price]])*SUMIF(trades[Symbol],trades[[#This Row],[Symbol]],trades[Qty]),"")</f>
        <v>157.89999999999992</v>
      </c>
      <c r="I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4" spans="1:9" x14ac:dyDescent="0.25">
      <c r="A14" s="1">
        <v>45840.395856481482</v>
      </c>
      <c r="B14" t="s">
        <v>42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184.32</v>
      </c>
      <c r="H14" s="2">
        <f>IFERROR((trades[[#This Row],[Current Price]]-trades[[#This Row],[Avg Price]])*SUMIF(trades[Symbol],trades[[#This Row],[Symbol]],trades[Qty]),"")</f>
        <v>568.5</v>
      </c>
      <c r="I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5" spans="1:9" x14ac:dyDescent="0.25">
      <c r="A15" s="1">
        <v>45663.393217592595</v>
      </c>
      <c r="B15" t="s">
        <v>43</v>
      </c>
      <c r="C15">
        <v>25</v>
      </c>
      <c r="D15">
        <v>20.23</v>
      </c>
      <c r="E15">
        <v>-505.75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35.229999999999997</v>
      </c>
      <c r="H15" s="2">
        <f>IFERROR((trades[[#This Row],[Current Price]]-trades[[#This Row],[Avg Price]])*SUMIF(trades[Symbol],trades[[#This Row],[Symbol]],trades[Qty]),"")</f>
        <v>1390.4999999999998</v>
      </c>
      <c r="I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6" spans="1:9" x14ac:dyDescent="0.25">
      <c r="A16" s="1">
        <v>45707.532534722224</v>
      </c>
      <c r="B16" t="s">
        <v>43</v>
      </c>
      <c r="C16">
        <v>50</v>
      </c>
      <c r="D16">
        <v>14.92</v>
      </c>
      <c r="E16">
        <v>-746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35.229999999999997</v>
      </c>
      <c r="H16" s="2">
        <f>IFERROR((trades[[#This Row],[Current Price]]-trades[[#This Row],[Avg Price]])*SUMIF(trades[Symbol],trades[[#This Row],[Symbol]],trades[Qty]),"")</f>
        <v>1390.4999999999998</v>
      </c>
      <c r="I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7" spans="1:9" x14ac:dyDescent="0.25">
      <c r="A17" s="1">
        <v>45783.291759259257</v>
      </c>
      <c r="B17" t="s">
        <v>44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</v>
      </c>
      <c r="H17" s="2">
        <f>IFERROR((trades[[#This Row],[Current Price]]-trades[[#This Row],[Avg Price]])*SUMIF(trades[Symbol],trades[[#This Row],[Symbol]],trades[Qty]),"")</f>
        <v>65.850000000000009</v>
      </c>
      <c r="I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8" spans="1:9" x14ac:dyDescent="0.25">
      <c r="A18" s="1">
        <v>45652.397789351853</v>
      </c>
      <c r="B18" t="s">
        <v>45</v>
      </c>
      <c r="C18">
        <v>-40</v>
      </c>
      <c r="D18">
        <v>17.9404</v>
      </c>
      <c r="E18">
        <v>717.61599999999999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9</v>
      </c>
      <c r="H18" s="2" t="str">
        <f>IFERROR((trades[[#This Row],[Current Price]]-trades[[#This Row],[Avg Price]])*SUMIF(trades[Symbol],trades[[#This Row],[Symbol]],trades[Qty]),"")</f>
        <v/>
      </c>
      <c r="I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717.61599999999999</v>
      </c>
    </row>
    <row r="19" spans="1:9" x14ac:dyDescent="0.25">
      <c r="A19" s="1">
        <v>45579.521724537037</v>
      </c>
      <c r="B19" t="s">
        <v>45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9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0" spans="1:9" x14ac:dyDescent="0.25">
      <c r="A20" s="1">
        <v>45902.395914351851</v>
      </c>
      <c r="B20" t="s">
        <v>46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11.04</v>
      </c>
      <c r="H20" s="2">
        <f>IFERROR((trades[[#This Row],[Current Price]]-trades[[#This Row],[Avg Price]])*SUMIF(trades[Symbol],trades[[#This Row],[Symbol]],trades[Qty]),"")</f>
        <v>-199.00000000000003</v>
      </c>
      <c r="I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1" spans="1:9" x14ac:dyDescent="0.25">
      <c r="A21" s="1">
        <v>45783.580752314818</v>
      </c>
      <c r="B21" t="s">
        <v>47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97.42</v>
      </c>
      <c r="H21" s="2">
        <f>IFERROR((trades[[#This Row],[Current Price]]-trades[[#This Row],[Avg Price]])*SUMIF(trades[Symbol],trades[[#This Row],[Symbol]],trades[Qty]),"")</f>
        <v>-13.299999999999983</v>
      </c>
      <c r="I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2" spans="1:9" x14ac:dyDescent="0.25">
      <c r="A22" s="1">
        <v>45719.566805555558</v>
      </c>
      <c r="B22" t="s">
        <v>47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97.42</v>
      </c>
      <c r="H22" s="2">
        <f>IFERROR((trades[[#This Row],[Current Price]]-trades[[#This Row],[Avg Price]])*SUMIF(trades[Symbol],trades[[#This Row],[Symbol]],trades[Qty]),"")</f>
        <v>-13.299999999999983</v>
      </c>
      <c r="I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3" spans="1:9" x14ac:dyDescent="0.25">
      <c r="A23" s="1">
        <v>45750.30810185185</v>
      </c>
      <c r="B23" t="s">
        <v>48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4" spans="1:9" x14ac:dyDescent="0.25">
      <c r="A24" s="1">
        <v>45782.395844907405</v>
      </c>
      <c r="B24" t="s">
        <v>49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90.76</v>
      </c>
      <c r="H24" s="2">
        <f>IFERROR((trades[[#This Row],[Current Price]]-trades[[#This Row],[Avg Price]])*SUMIF(trades[Symbol],trades[[#This Row],[Symbol]],trades[Qty]),"")</f>
        <v>83.800000000000026</v>
      </c>
      <c r="I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5" spans="1:9" x14ac:dyDescent="0.25">
      <c r="A25" s="1">
        <v>45782.395844907405</v>
      </c>
      <c r="B25" t="s">
        <v>50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104.91</v>
      </c>
      <c r="H25" s="2">
        <f>IFERROR((trades[[#This Row],[Current Price]]-trades[[#This Row],[Avg Price]])*SUMIF(trades[Symbol],trades[[#This Row],[Symbol]],trades[Qty]),"")</f>
        <v>76.099999999999994</v>
      </c>
      <c r="I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6" spans="1:9" x14ac:dyDescent="0.25">
      <c r="A26" s="1">
        <v>45744.49628472222</v>
      </c>
      <c r="B26" t="s">
        <v>51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124.58</v>
      </c>
      <c r="H26" s="2">
        <f>IFERROR((trades[[#This Row],[Current Price]]-trades[[#This Row],[Avg Price]])*SUMIF(trades[Symbol],trades[[#This Row],[Symbol]],trades[Qty]),"")</f>
        <v>122.89999999999999</v>
      </c>
      <c r="I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7" spans="1:9" x14ac:dyDescent="0.25">
      <c r="A27" s="1">
        <v>45902.395856481482</v>
      </c>
      <c r="B27" t="s">
        <v>52</v>
      </c>
      <c r="C27">
        <v>5</v>
      </c>
      <c r="D27">
        <v>71.489999999999995</v>
      </c>
      <c r="E27">
        <v>-357.45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74.5</v>
      </c>
      <c r="H27" s="2">
        <f>IFERROR((trades[[#This Row],[Current Price]]-trades[[#This Row],[Avg Price]])*SUMIF(trades[Symbol],trades[[#This Row],[Symbol]],trades[Qty]),"")</f>
        <v>-32.600000000000051</v>
      </c>
      <c r="I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8" spans="1:9" x14ac:dyDescent="0.25">
      <c r="A28" s="1">
        <v>45810.291666666664</v>
      </c>
      <c r="B28" t="s">
        <v>52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74.5</v>
      </c>
      <c r="H28" s="2">
        <f>IFERROR((trades[[#This Row],[Current Price]]-trades[[#This Row],[Avg Price]])*SUMIF(trades[Symbol],trades[[#This Row],[Symbol]],trades[Qty]),"")</f>
        <v>-32.600000000000051</v>
      </c>
      <c r="I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9" spans="1:9" x14ac:dyDescent="0.25">
      <c r="A29" s="1">
        <v>45874.395856481482</v>
      </c>
      <c r="B29" t="s">
        <v>52</v>
      </c>
      <c r="C29">
        <v>5</v>
      </c>
      <c r="D29">
        <v>71.260000000000005</v>
      </c>
      <c r="E29">
        <v>-356.3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74.5</v>
      </c>
      <c r="H29" s="2">
        <f>IFERROR((trades[[#This Row],[Current Price]]-trades[[#This Row],[Avg Price]])*SUMIF(trades[Symbol],trades[[#This Row],[Symbol]],trades[Qty]),"")</f>
        <v>-32.600000000000051</v>
      </c>
      <c r="I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0" spans="1:9" x14ac:dyDescent="0.25">
      <c r="A30" s="1">
        <v>45747.392361111109</v>
      </c>
      <c r="B30" t="s">
        <v>52</v>
      </c>
      <c r="C30">
        <v>5</v>
      </c>
      <c r="D30">
        <v>75</v>
      </c>
      <c r="E30">
        <v>-375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74.5</v>
      </c>
      <c r="H30" s="2">
        <f>IFERROR((trades[[#This Row],[Current Price]]-trades[[#This Row],[Avg Price]])*SUMIF(trades[Symbol],trades[[#This Row],[Symbol]],trades[Qty]),"")</f>
        <v>-32.600000000000051</v>
      </c>
      <c r="I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1" spans="1:9" x14ac:dyDescent="0.25">
      <c r="A31" s="1">
        <v>45840.395833333336</v>
      </c>
      <c r="B31" t="s">
        <v>52</v>
      </c>
      <c r="C31">
        <v>5</v>
      </c>
      <c r="D31">
        <v>80.3</v>
      </c>
      <c r="E31">
        <v>-401.5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74.5</v>
      </c>
      <c r="H31" s="2">
        <f>IFERROR((trades[[#This Row],[Current Price]]-trades[[#This Row],[Avg Price]])*SUMIF(trades[Symbol],trades[[#This Row],[Symbol]],trades[Qty]),"")</f>
        <v>-32.600000000000051</v>
      </c>
      <c r="I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2" spans="1:9" x14ac:dyDescent="0.25">
      <c r="A32" s="1">
        <v>45754.291666666664</v>
      </c>
      <c r="B32" t="s">
        <v>53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19.95</v>
      </c>
      <c r="H32" s="2">
        <f>IFERROR((trades[[#This Row],[Current Price]]-trades[[#This Row],[Avg Price]])*SUMIF(trades[Symbol],trades[[#This Row],[Symbol]],trades[Qty]),"")</f>
        <v>409.95</v>
      </c>
      <c r="I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3" spans="1:9" x14ac:dyDescent="0.25">
      <c r="A33" s="1">
        <v>45740.634375000001</v>
      </c>
      <c r="B33" t="s">
        <v>54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8.57</v>
      </c>
      <c r="H33" s="2">
        <f>IFERROR((trades[[#This Row],[Current Price]]-trades[[#This Row],[Avg Price]])*SUMIF(trades[Symbol],trades[[#This Row],[Symbol]],trades[Qty]),"")</f>
        <v>-74.000000000000028</v>
      </c>
      <c r="I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4" spans="1:9" x14ac:dyDescent="0.25">
      <c r="A34" s="1">
        <v>45810.291759259257</v>
      </c>
      <c r="B34" t="s">
        <v>55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74.02</v>
      </c>
      <c r="H34" s="2">
        <f>IFERROR((trades[[#This Row],[Current Price]]-trades[[#This Row],[Avg Price]])*SUMIF(trades[Symbol],trades[[#This Row],[Symbol]],trades[Qty]),"")</f>
        <v>-141.1</v>
      </c>
      <c r="I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5" spans="1:9" x14ac:dyDescent="0.25">
      <c r="A35" s="1">
        <v>45751.308148148149</v>
      </c>
      <c r="B35" t="s">
        <v>55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74.02</v>
      </c>
      <c r="H35" s="2">
        <f>IFERROR((trades[[#This Row],[Current Price]]-trades[[#This Row],[Avg Price]])*SUMIF(trades[Symbol],trades[[#This Row],[Symbol]],trades[Qty]),"")</f>
        <v>-141.1</v>
      </c>
      <c r="I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6" spans="1:9" x14ac:dyDescent="0.25">
      <c r="A36" s="1">
        <v>45838.395740740743</v>
      </c>
      <c r="B36" t="s">
        <v>56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52.8</v>
      </c>
      <c r="H36" s="2">
        <f>IFERROR((trades[[#This Row],[Current Price]]-trades[[#This Row],[Avg Price]])*SUMIF(trades[Symbol],trades[[#This Row],[Symbol]],trades[Qty]),"")</f>
        <v>82.999999999999972</v>
      </c>
      <c r="I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7" spans="1:9" x14ac:dyDescent="0.25">
      <c r="A37" s="1">
        <v>45810.395833333336</v>
      </c>
      <c r="B37" t="s">
        <v>57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5.0199999999999996</v>
      </c>
      <c r="H37" s="2">
        <f>IFERROR((trades[[#This Row],[Current Price]]-trades[[#This Row],[Avg Price]])*SUMIF(trades[Symbol],trades[[#This Row],[Symbol]],trades[Qty]),"")</f>
        <v>-200.40000000000009</v>
      </c>
      <c r="I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8" spans="1:9" x14ac:dyDescent="0.25">
      <c r="A38" s="1">
        <v>45810.395833333336</v>
      </c>
      <c r="B38" t="s">
        <v>57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5.0199999999999996</v>
      </c>
      <c r="H38" s="2">
        <f>IFERROR((trades[[#This Row],[Current Price]]-trades[[#This Row],[Avg Price]])*SUMIF(trades[Symbol],trades[[#This Row],[Symbol]],trades[Qty]),"")</f>
        <v>-200.40000000000009</v>
      </c>
      <c r="I3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9" spans="1:9" x14ac:dyDescent="0.25">
      <c r="A39" s="1">
        <v>45937.395856481482</v>
      </c>
      <c r="B39" t="s">
        <v>58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38.97</v>
      </c>
      <c r="H39" s="2">
        <f>IFERROR((trades[[#This Row],[Current Price]]-trades[[#This Row],[Avg Price]])*SUMIF(trades[Symbol],trades[[#This Row],[Symbol]],trades[Qty]),"")</f>
        <v>-21.799999999999997</v>
      </c>
      <c r="I3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0" spans="1:9" x14ac:dyDescent="0.25">
      <c r="A40" s="1">
        <v>45874.395844907405</v>
      </c>
      <c r="B40" t="s">
        <v>59</v>
      </c>
      <c r="C40">
        <v>5</v>
      </c>
      <c r="D40">
        <v>96.75</v>
      </c>
      <c r="E40">
        <v>-483.75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79.650000000000006</v>
      </c>
      <c r="H40" s="2">
        <f>IFERROR((trades[[#This Row],[Current Price]]-trades[[#This Row],[Avg Price]])*SUMIF(trades[Symbol],trades[[#This Row],[Symbol]],trades[Qty]),"")</f>
        <v>-297.74999999999977</v>
      </c>
      <c r="I4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1" spans="1:9" x14ac:dyDescent="0.25">
      <c r="A41" s="1">
        <v>45937.395844907405</v>
      </c>
      <c r="B41" t="s">
        <v>59</v>
      </c>
      <c r="C41">
        <v>5</v>
      </c>
      <c r="D41">
        <v>91.34</v>
      </c>
      <c r="E41">
        <v>-456.70000000000005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79.650000000000006</v>
      </c>
      <c r="H41" s="2">
        <f>IFERROR((trades[[#This Row],[Current Price]]-trades[[#This Row],[Avg Price]])*SUMIF(trades[Symbol],trades[[#This Row],[Symbol]],trades[Qty]),"")</f>
        <v>-297.74999999999977</v>
      </c>
      <c r="I4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2" spans="1:9" x14ac:dyDescent="0.25">
      <c r="A42" s="1">
        <v>45754.291678240741</v>
      </c>
      <c r="B42" t="s">
        <v>59</v>
      </c>
      <c r="C42">
        <v>5</v>
      </c>
      <c r="D42">
        <v>93.8</v>
      </c>
      <c r="E42">
        <v>-469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79.650000000000006</v>
      </c>
      <c r="H42" s="2">
        <f>IFERROR((trades[[#This Row],[Current Price]]-trades[[#This Row],[Avg Price]])*SUMIF(trades[Symbol],trades[[#This Row],[Symbol]],trades[Qty]),"")</f>
        <v>-297.74999999999977</v>
      </c>
      <c r="I4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3" spans="1:9" x14ac:dyDescent="0.25">
      <c r="A43" s="1">
        <v>45902.395856481482</v>
      </c>
      <c r="B43" t="s">
        <v>59</v>
      </c>
      <c r="C43">
        <v>5</v>
      </c>
      <c r="D43">
        <v>96.26</v>
      </c>
      <c r="E43">
        <v>-481.3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79.650000000000006</v>
      </c>
      <c r="H43" s="2">
        <f>IFERROR((trades[[#This Row],[Current Price]]-trades[[#This Row],[Avg Price]])*SUMIF(trades[Symbol],trades[[#This Row],[Symbol]],trades[Qty]),"")</f>
        <v>-297.74999999999977</v>
      </c>
      <c r="I4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4" spans="1:9" x14ac:dyDescent="0.25">
      <c r="A44" s="1">
        <v>45874.395856481482</v>
      </c>
      <c r="B44" t="s">
        <v>60</v>
      </c>
      <c r="C44">
        <v>20</v>
      </c>
      <c r="D44">
        <v>24.28</v>
      </c>
      <c r="E44">
        <v>-485.6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30</v>
      </c>
      <c r="H44" s="2">
        <f>IFERROR((trades[[#This Row],[Current Price]]-trades[[#This Row],[Avg Price]])*SUMIF(trades[Symbol],trades[[#This Row],[Symbol]],trades[Qty]),"")</f>
        <v>323.60000000000036</v>
      </c>
      <c r="I4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5" spans="1:9" x14ac:dyDescent="0.25">
      <c r="A45" s="1">
        <v>45902.395856481482</v>
      </c>
      <c r="B45" t="s">
        <v>60</v>
      </c>
      <c r="C45">
        <v>20</v>
      </c>
      <c r="D45">
        <v>26.89</v>
      </c>
      <c r="E45">
        <v>-537.79999999999995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30</v>
      </c>
      <c r="H45" s="2">
        <f>IFERROR((trades[[#This Row],[Current Price]]-trades[[#This Row],[Avg Price]])*SUMIF(trades[Symbol],trades[[#This Row],[Symbol]],trades[Qty]),"")</f>
        <v>323.60000000000036</v>
      </c>
      <c r="I4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6" spans="1:9" x14ac:dyDescent="0.25">
      <c r="A46" s="1">
        <v>45806.428460648145</v>
      </c>
      <c r="B46" t="s">
        <v>60</v>
      </c>
      <c r="C46">
        <v>15</v>
      </c>
      <c r="D46">
        <v>28.28</v>
      </c>
      <c r="E46">
        <v>-424.20000000000005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30</v>
      </c>
      <c r="H46" s="2">
        <f>IFERROR((trades[[#This Row],[Current Price]]-trades[[#This Row],[Avg Price]])*SUMIF(trades[Symbol],trades[[#This Row],[Symbol]],trades[Qty]),"")</f>
        <v>323.60000000000036</v>
      </c>
      <c r="I4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7" spans="1:9" x14ac:dyDescent="0.25">
      <c r="A47" s="1">
        <v>45810.291666666664</v>
      </c>
      <c r="B47" t="s">
        <v>60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30</v>
      </c>
      <c r="H47" s="2">
        <f>IFERROR((trades[[#This Row],[Current Price]]-trades[[#This Row],[Avg Price]])*SUMIF(trades[Symbol],trades[[#This Row],[Symbol]],trades[Qty]),"")</f>
        <v>323.60000000000036</v>
      </c>
      <c r="I4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8" spans="1:9" x14ac:dyDescent="0.25">
      <c r="A48" s="1">
        <v>45751.291666666664</v>
      </c>
      <c r="B48" t="s">
        <v>60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30</v>
      </c>
      <c r="H48" s="2">
        <f>IFERROR((trades[[#This Row],[Current Price]]-trades[[#This Row],[Avg Price]])*SUMIF(trades[Symbol],trades[[#This Row],[Symbol]],trades[Qty]),"")</f>
        <v>323.60000000000036</v>
      </c>
      <c r="I4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9" spans="1:9" x14ac:dyDescent="0.25">
      <c r="A49" s="1">
        <v>45902.395833333336</v>
      </c>
      <c r="B49" t="s">
        <v>61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33.03</v>
      </c>
      <c r="H49" s="2">
        <f>IFERROR((trades[[#This Row],[Current Price]]-trades[[#This Row],[Avg Price]])*SUMIF(trades[Symbol],trades[[#This Row],[Symbol]],trades[Qty]),"")</f>
        <v>486.05000000000007</v>
      </c>
      <c r="I4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0" spans="1:9" x14ac:dyDescent="0.25">
      <c r="A50" s="1">
        <v>45747.291666666664</v>
      </c>
      <c r="B50" t="s">
        <v>61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33.03</v>
      </c>
      <c r="H50" s="2">
        <f>IFERROR((trades[[#This Row],[Current Price]]-trades[[#This Row],[Avg Price]])*SUMIF(trades[Symbol],trades[[#This Row],[Symbol]],trades[Qty]),"")</f>
        <v>486.05000000000007</v>
      </c>
      <c r="I5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1" spans="1:9" x14ac:dyDescent="0.25">
      <c r="A51" s="1">
        <v>45720.397013888891</v>
      </c>
      <c r="B51" t="s">
        <v>62</v>
      </c>
      <c r="C51">
        <v>25</v>
      </c>
      <c r="D51">
        <v>21</v>
      </c>
      <c r="E51">
        <v>-525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37.39</v>
      </c>
      <c r="H51" s="2">
        <f>IFERROR((trades[[#This Row],[Current Price]]-trades[[#This Row],[Avg Price]])*SUMIF(trades[Symbol],trades[[#This Row],[Symbol]],trades[Qty]),"")</f>
        <v>692.35</v>
      </c>
      <c r="I5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2" spans="1:9" x14ac:dyDescent="0.25">
      <c r="A52" s="1">
        <v>45608.414699074077</v>
      </c>
      <c r="B52" t="s">
        <v>62</v>
      </c>
      <c r="C52">
        <v>20</v>
      </c>
      <c r="D52">
        <v>23.26</v>
      </c>
      <c r="E52">
        <v>-465.20000000000005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37.39</v>
      </c>
      <c r="H52" s="2">
        <f>IFERROR((trades[[#This Row],[Current Price]]-trades[[#This Row],[Avg Price]])*SUMIF(trades[Symbol],trades[[#This Row],[Symbol]],trades[Qty]),"")</f>
        <v>692.35</v>
      </c>
      <c r="I5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3" spans="1:9" x14ac:dyDescent="0.25">
      <c r="A53" s="1">
        <v>45806.668912037036</v>
      </c>
      <c r="B53" t="s">
        <v>63</v>
      </c>
      <c r="C53">
        <v>100</v>
      </c>
      <c r="D53">
        <v>5</v>
      </c>
      <c r="E53">
        <v>-500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6.2</v>
      </c>
      <c r="H53" s="2">
        <f>IFERROR((trades[[#This Row],[Current Price]]-trades[[#This Row],[Avg Price]])*SUMIF(trades[Symbol],trades[[#This Row],[Symbol]],trades[Qty]),"")</f>
        <v>610.27300000000014</v>
      </c>
      <c r="I5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4" spans="1:9" x14ac:dyDescent="0.25">
      <c r="A54" s="1">
        <v>45811.397233796299</v>
      </c>
      <c r="B54" t="s">
        <v>63</v>
      </c>
      <c r="C54">
        <v>100</v>
      </c>
      <c r="D54">
        <v>5</v>
      </c>
      <c r="E54">
        <v>-500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6.2</v>
      </c>
      <c r="H54" s="2">
        <f>IFERROR((trades[[#This Row],[Current Price]]-trades[[#This Row],[Avg Price]])*SUMIF(trades[Symbol],trades[[#This Row],[Symbol]],trades[Qty]),"")</f>
        <v>610.27300000000014</v>
      </c>
      <c r="I5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5" spans="1:9" x14ac:dyDescent="0.25">
      <c r="A55" s="1">
        <v>45840.416192129633</v>
      </c>
      <c r="B55" t="s">
        <v>63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6.2</v>
      </c>
      <c r="H55" s="2">
        <f>IFERROR((trades[[#This Row],[Current Price]]-trades[[#This Row],[Avg Price]])*SUMIF(trades[Symbol],trades[[#This Row],[Symbol]],trades[Qty]),"")</f>
        <v>610.27300000000014</v>
      </c>
      <c r="I5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6" spans="1:9" x14ac:dyDescent="0.25">
      <c r="A56" s="1">
        <v>45740.291770833333</v>
      </c>
      <c r="B56" t="s">
        <v>63</v>
      </c>
      <c r="C56">
        <v>115</v>
      </c>
      <c r="D56">
        <v>4.3498000000000001</v>
      </c>
      <c r="E56">
        <v>-500.22700000000003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6.2</v>
      </c>
      <c r="H56" s="2">
        <f>IFERROR((trades[[#This Row],[Current Price]]-trades[[#This Row],[Avg Price]])*SUMIF(trades[Symbol],trades[[#This Row],[Symbol]],trades[Qty]),"")</f>
        <v>610.27300000000014</v>
      </c>
      <c r="I5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7" spans="1:9" x14ac:dyDescent="0.25">
      <c r="A57" s="1">
        <v>45902.395856481482</v>
      </c>
      <c r="B57" t="s">
        <v>63</v>
      </c>
      <c r="C57">
        <v>75</v>
      </c>
      <c r="D57">
        <v>6.11</v>
      </c>
      <c r="E57">
        <v>-458.25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6.2</v>
      </c>
      <c r="H57" s="2">
        <f>IFERROR((trades[[#This Row],[Current Price]]-trades[[#This Row],[Avg Price]])*SUMIF(trades[Symbol],trades[[#This Row],[Symbol]],trades[Qty]),"")</f>
        <v>610.27300000000014</v>
      </c>
      <c r="I5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8" spans="1:9" x14ac:dyDescent="0.25">
      <c r="A58" s="1">
        <v>45874.395833333336</v>
      </c>
      <c r="B58" t="s">
        <v>63</v>
      </c>
      <c r="C58">
        <v>85</v>
      </c>
      <c r="D58">
        <v>5.85</v>
      </c>
      <c r="E58">
        <v>-497.24999999999994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6.2</v>
      </c>
      <c r="H58" s="2">
        <f>IFERROR((trades[[#This Row],[Current Price]]-trades[[#This Row],[Avg Price]])*SUMIF(trades[Symbol],trades[[#This Row],[Symbol]],trades[Qty]),"")</f>
        <v>610.27300000000014</v>
      </c>
      <c r="I5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9" spans="1:9" x14ac:dyDescent="0.25">
      <c r="A59" s="1">
        <v>45609.395821759259</v>
      </c>
      <c r="B59" t="s">
        <v>64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27.86</v>
      </c>
      <c r="H59" s="2">
        <f>IFERROR((trades[[#This Row],[Current Price]]-trades[[#This Row],[Avg Price]])*SUMIF(trades[Symbol],trades[[#This Row],[Symbol]],trades[Qty]),"")</f>
        <v>603.5</v>
      </c>
      <c r="I5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0" spans="1:9" x14ac:dyDescent="0.25">
      <c r="A60" s="1">
        <v>45747.362372685187</v>
      </c>
      <c r="B60" t="s">
        <v>64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27.86</v>
      </c>
      <c r="H60" s="2">
        <f>IFERROR((trades[[#This Row],[Current Price]]-trades[[#This Row],[Avg Price]])*SUMIF(trades[Symbol],trades[[#This Row],[Symbol]],trades[Qty]),"")</f>
        <v>603.5</v>
      </c>
      <c r="I6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1" spans="1:9" x14ac:dyDescent="0.25">
      <c r="A61" s="1">
        <v>45817.461053240739</v>
      </c>
      <c r="B61" t="s">
        <v>64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27.86</v>
      </c>
      <c r="H61" s="2">
        <f>IFERROR((trades[[#This Row],[Current Price]]-trades[[#This Row],[Avg Price]])*SUMIF(trades[Symbol],trades[[#This Row],[Symbol]],trades[Qty]),"")</f>
        <v>603.5</v>
      </c>
      <c r="I6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2" spans="1:9" x14ac:dyDescent="0.25">
      <c r="A62" s="1">
        <v>45831.396608796298</v>
      </c>
      <c r="B62" t="s">
        <v>65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48.87</v>
      </c>
      <c r="H62" s="2">
        <f>IFERROR((trades[[#This Row],[Current Price]]-trades[[#This Row],[Avg Price]])*SUMIF(trades[Symbol],trades[[#This Row],[Symbol]],trades[Qty]),"")</f>
        <v>28.699999999999974</v>
      </c>
      <c r="I6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3" spans="1:9" x14ac:dyDescent="0.25">
      <c r="A63" s="1">
        <v>45747.31521990741</v>
      </c>
      <c r="B63" t="s">
        <v>66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107.86</v>
      </c>
      <c r="H63" s="2">
        <f>IFERROR((trades[[#This Row],[Current Price]]-trades[[#This Row],[Avg Price]])*SUMIF(trades[Symbol],trades[[#This Row],[Symbol]],trades[Qty]),"")</f>
        <v>79.3</v>
      </c>
      <c r="I6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4" spans="1:9" x14ac:dyDescent="0.25">
      <c r="A64" s="1">
        <v>45580.291666666664</v>
      </c>
      <c r="B64" t="s">
        <v>67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2.7</v>
      </c>
      <c r="H64" s="2">
        <f>IFERROR((trades[[#This Row],[Current Price]]-trades[[#This Row],[Avg Price]])*SUMIF(trades[Symbol],trades[[#This Row],[Symbol]],trades[Qty]),"")</f>
        <v>-103.95</v>
      </c>
      <c r="I6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5" spans="1:9" x14ac:dyDescent="0.25">
      <c r="A65" s="1">
        <v>45782.670138888891</v>
      </c>
      <c r="B65" t="s">
        <v>68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21.19</v>
      </c>
      <c r="H65" s="2">
        <f>IFERROR((trades[[#This Row],[Current Price]]-trades[[#This Row],[Avg Price]])*SUMIF(trades[Symbol],trades[[#This Row],[Symbol]],trades[Qty]),"")</f>
        <v>155.70000000000005</v>
      </c>
      <c r="I6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6" spans="1:9" x14ac:dyDescent="0.25">
      <c r="A66" s="1">
        <v>45663.392731481479</v>
      </c>
      <c r="B66" t="s">
        <v>69</v>
      </c>
      <c r="C66">
        <v>45</v>
      </c>
      <c r="D66">
        <v>7.18</v>
      </c>
      <c r="E66">
        <v>-323.09999999999997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6.49</v>
      </c>
      <c r="H66" s="2">
        <f>IFERROR((trades[[#This Row],[Current Price]]-trades[[#This Row],[Avg Price]])*SUMIF(trades[Symbol],trades[[#This Row],[Symbol]],trades[Qty]),"")</f>
        <v>-44.849999999999852</v>
      </c>
      <c r="I6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7" spans="1:9" x14ac:dyDescent="0.25">
      <c r="A67" s="1">
        <v>45663.299363425926</v>
      </c>
      <c r="B67" t="s">
        <v>69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6.49</v>
      </c>
      <c r="H67" s="2">
        <f>IFERROR((trades[[#This Row],[Current Price]]-trades[[#This Row],[Avg Price]])*SUMIF(trades[Symbol],trades[[#This Row],[Symbol]],trades[Qty]),"")</f>
        <v>-44.849999999999852</v>
      </c>
      <c r="I6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8" spans="1:9" x14ac:dyDescent="0.25">
      <c r="A68" s="1">
        <v>45663.301111111112</v>
      </c>
      <c r="B68" t="s">
        <v>69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6.49</v>
      </c>
      <c r="H68" s="2">
        <f>IFERROR((trades[[#This Row],[Current Price]]-trades[[#This Row],[Avg Price]])*SUMIF(trades[Symbol],trades[[#This Row],[Symbol]],trades[Qty]),"")</f>
        <v>-44.849999999999852</v>
      </c>
      <c r="I6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9" spans="1:9" x14ac:dyDescent="0.25">
      <c r="A69" s="1">
        <v>45663.309421296297</v>
      </c>
      <c r="B69" t="s">
        <v>69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6.49</v>
      </c>
      <c r="H69" s="2">
        <f>IFERROR((trades[[#This Row],[Current Price]]-trades[[#This Row],[Avg Price]])*SUMIF(trades[Symbol],trades[[#This Row],[Symbol]],trades[Qty]),"")</f>
        <v>-44.849999999999852</v>
      </c>
      <c r="I6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0" spans="1:9" x14ac:dyDescent="0.25">
      <c r="A70" s="1">
        <v>45663.301377314812</v>
      </c>
      <c r="B70" t="s">
        <v>69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6.49</v>
      </c>
      <c r="H70" s="2">
        <f>IFERROR((trades[[#This Row],[Current Price]]-trades[[#This Row],[Avg Price]])*SUMIF(trades[Symbol],trades[[#This Row],[Symbol]],trades[Qty]),"")</f>
        <v>-44.849999999999852</v>
      </c>
      <c r="I7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1" spans="1:9" x14ac:dyDescent="0.25">
      <c r="A71" s="1">
        <v>45663.395833333336</v>
      </c>
      <c r="B71" t="s">
        <v>111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411.21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2" spans="1:9" x14ac:dyDescent="0.25">
      <c r="A72" s="1">
        <v>45937.395833333336</v>
      </c>
      <c r="B72" t="s">
        <v>111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411.21</v>
      </c>
      <c r="H72" s="2" t="str">
        <f>IFERROR((trades[[#This Row],[Current Price]]-trades[[#This Row],[Avg Price]])*SUMIF(trades[Symbol],trades[[#This Row],[Symbol]],trades[Qty]),"")</f>
        <v/>
      </c>
      <c r="I7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1002</v>
      </c>
    </row>
    <row r="73" spans="1:9" x14ac:dyDescent="0.25">
      <c r="A73" s="1">
        <v>45902.395844907405</v>
      </c>
      <c r="B73" t="s">
        <v>70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38.72</v>
      </c>
      <c r="H73" s="2">
        <f>IFERROR((trades[[#This Row],[Current Price]]-trades[[#This Row],[Avg Price]])*SUMIF(trades[Symbol],trades[[#This Row],[Symbol]],trades[Qty]),"")</f>
        <v>83</v>
      </c>
      <c r="I7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4" spans="1:9" x14ac:dyDescent="0.25">
      <c r="A74" s="1">
        <v>45754.395833333336</v>
      </c>
      <c r="B74" t="s">
        <v>70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38.72</v>
      </c>
      <c r="H74" s="2">
        <f>IFERROR((trades[[#This Row],[Current Price]]-trades[[#This Row],[Avg Price]])*SUMIF(trades[Symbol],trades[[#This Row],[Symbol]],trades[Qty]),"")</f>
        <v>83</v>
      </c>
      <c r="I7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5" spans="1:9" x14ac:dyDescent="0.25">
      <c r="A75" s="1">
        <v>45937.395833333336</v>
      </c>
      <c r="B75" t="s">
        <v>71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119.85</v>
      </c>
      <c r="H75" s="2">
        <f>IFERROR((trades[[#This Row],[Current Price]]-trades[[#This Row],[Avg Price]])*SUMIF(trades[Symbol],trades[[#This Row],[Symbol]],trades[Qty]),"")</f>
        <v>207.54999999999995</v>
      </c>
      <c r="I7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6" spans="1:9" x14ac:dyDescent="0.25">
      <c r="A76" s="1">
        <v>45744.442199074074</v>
      </c>
      <c r="B76" t="s">
        <v>72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59.43</v>
      </c>
      <c r="H76" s="2">
        <f>IFERROR((trades[[#This Row],[Current Price]]-trades[[#This Row],[Avg Price]])*SUMIF(trades[Symbol],trades[[#This Row],[Symbol]],trades[Qty]),"")</f>
        <v>348.6</v>
      </c>
      <c r="I7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7" spans="1:9" x14ac:dyDescent="0.25">
      <c r="A77" s="1">
        <v>45807.399710648147</v>
      </c>
      <c r="B77" t="s">
        <v>72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59.43</v>
      </c>
      <c r="H77" s="2">
        <f>IFERROR((trades[[#This Row],[Current Price]]-trades[[#This Row],[Avg Price]])*SUMIF(trades[Symbol],trades[[#This Row],[Symbol]],trades[Qty]),"")</f>
        <v>348.6</v>
      </c>
      <c r="I7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8" spans="1:9" x14ac:dyDescent="0.25">
      <c r="A78" s="1">
        <v>45751.310370370367</v>
      </c>
      <c r="B78" t="s">
        <v>73</v>
      </c>
      <c r="C78">
        <v>10</v>
      </c>
      <c r="D78">
        <v>36.619999999999997</v>
      </c>
      <c r="E78">
        <v>-366.2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44.11</v>
      </c>
      <c r="H78" s="2">
        <f>IFERROR((trades[[#This Row],[Current Price]]-trades[[#This Row],[Avg Price]])*SUMIF(trades[Symbol],trades[[#This Row],[Symbol]],trades[Qty]),"")</f>
        <v>236.59999999999997</v>
      </c>
      <c r="I7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9" spans="1:9" x14ac:dyDescent="0.25">
      <c r="A79" s="1">
        <v>45784.590578703705</v>
      </c>
      <c r="B79" t="s">
        <v>73</v>
      </c>
      <c r="C79">
        <v>15</v>
      </c>
      <c r="D79">
        <v>33.33</v>
      </c>
      <c r="E79">
        <v>-499.95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44.11</v>
      </c>
      <c r="H79" s="2">
        <f>IFERROR((trades[[#This Row],[Current Price]]-trades[[#This Row],[Avg Price]])*SUMIF(trades[Symbol],trades[[#This Row],[Symbol]],trades[Qty]),"")</f>
        <v>236.59999999999997</v>
      </c>
      <c r="I7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0" spans="1:9" x14ac:dyDescent="0.25">
      <c r="A80" s="1">
        <v>45937.395844907405</v>
      </c>
      <c r="B80" t="s">
        <v>74</v>
      </c>
      <c r="C80">
        <v>5</v>
      </c>
      <c r="D80">
        <v>134.49</v>
      </c>
      <c r="E80">
        <v>-672.45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0" s="2">
        <f>RTD("tos.rtd", , "LAST", trades[[#This Row],[Symbol]])</f>
        <v>103.32</v>
      </c>
      <c r="H80" s="2">
        <f>IFERROR((trades[[#This Row],[Current Price]]-trades[[#This Row],[Avg Price]])*SUMIF(trades[Symbol],trades[[#This Row],[Symbol]],trades[Qty]),"")</f>
        <v>-119.25000000000011</v>
      </c>
      <c r="I8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1" spans="1:9" x14ac:dyDescent="0.25">
      <c r="A81" s="1">
        <v>45810.396203703705</v>
      </c>
      <c r="B81" t="s">
        <v>74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1" s="2">
        <f>RTD("tos.rtd", , "LAST", trades[[#This Row],[Symbol]])</f>
        <v>103.32</v>
      </c>
      <c r="H81" s="2">
        <f>IFERROR((trades[[#This Row],[Current Price]]-trades[[#This Row],[Avg Price]])*SUMIF(trades[Symbol],trades[[#This Row],[Symbol]],trades[Qty]),"")</f>
        <v>-119.25000000000011</v>
      </c>
      <c r="I8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2" spans="1:9" x14ac:dyDescent="0.25">
      <c r="A82" s="1">
        <v>45636.500023148146</v>
      </c>
      <c r="B82" t="s">
        <v>75</v>
      </c>
      <c r="C82">
        <v>5</v>
      </c>
      <c r="D82">
        <v>60.98</v>
      </c>
      <c r="E82">
        <v>-304.89999999999998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2" s="2">
        <f>RTD("tos.rtd", , "LAST", trades[[#This Row],[Symbol]])</f>
        <v>81.849999999999994</v>
      </c>
      <c r="H82" s="2">
        <f>IFERROR((trades[[#This Row],[Current Price]]-trades[[#This Row],[Avg Price]])*SUMIF(trades[Symbol],trades[[#This Row],[Symbol]],trades[Qty]),"")</f>
        <v>241.1</v>
      </c>
      <c r="I8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3" spans="1:9" x14ac:dyDescent="0.25">
      <c r="A83" s="1">
        <v>45700.781307870369</v>
      </c>
      <c r="B83" t="s">
        <v>75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81.849999999999994</v>
      </c>
      <c r="H83" s="2">
        <f>IFERROR((trades[[#This Row],[Current Price]]-trades[[#This Row],[Avg Price]])*SUMIF(trades[Symbol],trades[[#This Row],[Symbol]],trades[Qty]),"")</f>
        <v>241.1</v>
      </c>
      <c r="I8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4" spans="1:9" x14ac:dyDescent="0.25">
      <c r="A84" s="1">
        <v>45810.291678240741</v>
      </c>
      <c r="B84" t="s">
        <v>76</v>
      </c>
      <c r="C84">
        <v>5</v>
      </c>
      <c r="D84">
        <v>98.03</v>
      </c>
      <c r="E84">
        <v>-490.15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4" s="2">
        <f>RTD("tos.rtd", , "LAST", trades[[#This Row],[Symbol]])</f>
        <v>130.46</v>
      </c>
      <c r="H84" s="2">
        <f>IFERROR((trades[[#This Row],[Current Price]]-trades[[#This Row],[Avg Price]])*SUMIF(trades[Symbol],trades[[#This Row],[Symbol]],trades[Qty]),"")</f>
        <v>151.80000000000007</v>
      </c>
      <c r="I8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5" spans="1:9" x14ac:dyDescent="0.25">
      <c r="A85" s="1">
        <v>45937.395844907405</v>
      </c>
      <c r="B85" t="s">
        <v>76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130.46</v>
      </c>
      <c r="H85" s="2">
        <f>IFERROR((trades[[#This Row],[Current Price]]-trades[[#This Row],[Avg Price]])*SUMIF(trades[Symbol],trades[[#This Row],[Symbol]],trades[Qty]),"")</f>
        <v>151.80000000000007</v>
      </c>
      <c r="I8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6" spans="1:9" x14ac:dyDescent="0.25">
      <c r="A86" s="1">
        <v>45902.395879629628</v>
      </c>
      <c r="B86" t="s">
        <v>77</v>
      </c>
      <c r="C86">
        <v>10</v>
      </c>
      <c r="D86">
        <v>42.14</v>
      </c>
      <c r="E86">
        <v>-421.4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6" s="2">
        <f>RTD("tos.rtd", , "LAST", trades[[#This Row],[Symbol]])</f>
        <v>54.73</v>
      </c>
      <c r="H86" s="2">
        <f>IFERROR((trades[[#This Row],[Current Price]]-trades[[#This Row],[Avg Price]])*SUMIF(trades[Symbol],trades[[#This Row],[Symbol]],trades[Qty]),"")</f>
        <v>125.89999999999996</v>
      </c>
      <c r="I8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7" spans="1:9" x14ac:dyDescent="0.25">
      <c r="A87" s="1">
        <v>45810.395925925928</v>
      </c>
      <c r="B87" t="s">
        <v>78</v>
      </c>
      <c r="C87">
        <v>45</v>
      </c>
      <c r="D87">
        <v>9.93</v>
      </c>
      <c r="E87">
        <v>-446.84999999999997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7" s="2">
        <f>RTD("tos.rtd", , "LAST", trades[[#This Row],[Symbol]])</f>
        <v>8.9600000000000009</v>
      </c>
      <c r="H87" s="2">
        <f>IFERROR((trades[[#This Row],[Current Price]]-trades[[#This Row],[Avg Price]])*SUMIF(trades[Symbol],trades[[#This Row],[Symbol]],trades[Qty]),"")</f>
        <v>-208.47499999999985</v>
      </c>
      <c r="I8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8" spans="1:9" x14ac:dyDescent="0.25">
      <c r="A88" s="1">
        <v>45874.395844907405</v>
      </c>
      <c r="B88" t="s">
        <v>78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8.9600000000000009</v>
      </c>
      <c r="H88" s="2">
        <f>IFERROR((trades[[#This Row],[Current Price]]-trades[[#This Row],[Avg Price]])*SUMIF(trades[Symbol],trades[[#This Row],[Symbol]],trades[Qty]),"")</f>
        <v>-208.47499999999985</v>
      </c>
      <c r="I8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9" spans="1:9" x14ac:dyDescent="0.25">
      <c r="A89" s="1">
        <v>45747.291678240741</v>
      </c>
      <c r="B89" t="s">
        <v>78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8.9600000000000009</v>
      </c>
      <c r="H89" s="2">
        <f>IFERROR((trades[[#This Row],[Current Price]]-trades[[#This Row],[Avg Price]])*SUMIF(trades[Symbol],trades[[#This Row],[Symbol]],trades[Qty]),"")</f>
        <v>-208.47499999999985</v>
      </c>
      <c r="I8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0" spans="1:9" x14ac:dyDescent="0.25">
      <c r="A90" s="1">
        <v>45810.374930555554</v>
      </c>
      <c r="B90" t="s">
        <v>78</v>
      </c>
      <c r="C90">
        <v>5</v>
      </c>
      <c r="D90">
        <v>9.93</v>
      </c>
      <c r="E90">
        <v>-49.65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8.9600000000000009</v>
      </c>
      <c r="H90" s="2">
        <f>IFERROR((trades[[#This Row],[Current Price]]-trades[[#This Row],[Avg Price]])*SUMIF(trades[Symbol],trades[[#This Row],[Symbol]],trades[Qty]),"")</f>
        <v>-208.47499999999985</v>
      </c>
      <c r="I9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1" spans="1:9" x14ac:dyDescent="0.25">
      <c r="A91" s="1">
        <v>45810.397222222222</v>
      </c>
      <c r="B91" t="s">
        <v>79</v>
      </c>
      <c r="C91">
        <v>25</v>
      </c>
      <c r="D91">
        <v>19</v>
      </c>
      <c r="E91">
        <v>-475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1" s="2">
        <f>RTD("tos.rtd", , "LAST", trades[[#This Row],[Symbol]])</f>
        <v>19.73</v>
      </c>
      <c r="H91" s="2">
        <f>IFERROR((trades[[#This Row],[Current Price]]-trades[[#This Row],[Avg Price]])*SUMIF(trades[Symbol],trades[[#This Row],[Symbol]],trades[Qty]),"")</f>
        <v>54.750000000000028</v>
      </c>
      <c r="I9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2" spans="1:9" x14ac:dyDescent="0.25">
      <c r="A92" s="1">
        <v>45807.379004629627</v>
      </c>
      <c r="B92" t="s">
        <v>79</v>
      </c>
      <c r="C92">
        <v>25</v>
      </c>
      <c r="D92">
        <v>18</v>
      </c>
      <c r="E92">
        <v>-450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19.73</v>
      </c>
      <c r="H92" s="2">
        <f>IFERROR((trades[[#This Row],[Current Price]]-trades[[#This Row],[Avg Price]])*SUMIF(trades[Symbol],trades[[#This Row],[Symbol]],trades[Qty]),"")</f>
        <v>54.750000000000028</v>
      </c>
      <c r="I9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3" spans="1:9" x14ac:dyDescent="0.25">
      <c r="A93" s="1">
        <v>45750.417824074073</v>
      </c>
      <c r="B93" t="s">
        <v>79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19.73</v>
      </c>
      <c r="H93" s="2">
        <f>IFERROR((trades[[#This Row],[Current Price]]-trades[[#This Row],[Avg Price]])*SUMIF(trades[Symbol],trades[[#This Row],[Symbol]],trades[Qty]),"")</f>
        <v>54.750000000000028</v>
      </c>
      <c r="I9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4" spans="1:9" x14ac:dyDescent="0.25">
      <c r="A94" s="1">
        <v>45782.291678240741</v>
      </c>
      <c r="B94" t="s">
        <v>80</v>
      </c>
      <c r="C94">
        <v>20</v>
      </c>
      <c r="D94">
        <v>22.52</v>
      </c>
      <c r="E94">
        <v>-450.4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4" s="2">
        <f>RTD("tos.rtd", , "LAST", trades[[#This Row],[Symbol]])</f>
        <v>24.1</v>
      </c>
      <c r="H94" s="2">
        <f>IFERROR((trades[[#This Row],[Current Price]]-trades[[#This Row],[Avg Price]])*SUMIF(trades[Symbol],trades[[#This Row],[Symbol]],trades[Qty]),"")</f>
        <v>31.600000000000037</v>
      </c>
      <c r="I9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5" spans="1:9" x14ac:dyDescent="0.25">
      <c r="A95" s="1">
        <v>45840.396608796298</v>
      </c>
      <c r="B95" t="s">
        <v>81</v>
      </c>
      <c r="C95">
        <v>30</v>
      </c>
      <c r="D95">
        <v>11.8</v>
      </c>
      <c r="E95">
        <v>-354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5" s="2">
        <f>RTD("tos.rtd", , "LAST", trades[[#This Row],[Symbol]])</f>
        <v>13</v>
      </c>
      <c r="H95" s="2">
        <f>IFERROR((trades[[#This Row],[Current Price]]-trades[[#This Row],[Avg Price]])*SUMIF(trades[Symbol],trades[[#This Row],[Symbol]],trades[Qty]),"")</f>
        <v>35.999999999999979</v>
      </c>
      <c r="I9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6" spans="1:9" x14ac:dyDescent="0.25">
      <c r="A96" s="1">
        <v>45580.395729166667</v>
      </c>
      <c r="B96" t="s">
        <v>82</v>
      </c>
      <c r="C96">
        <v>30</v>
      </c>
      <c r="D96">
        <v>17</v>
      </c>
      <c r="E96">
        <v>-510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6" s="2">
        <f>RTD("tos.rtd", , "LAST", trades[[#This Row],[Symbol]])</f>
        <v>6.28</v>
      </c>
      <c r="H96" s="2">
        <f>IFERROR((trades[[#This Row],[Current Price]]-trades[[#This Row],[Avg Price]])*SUMIF(trades[Symbol],trades[[#This Row],[Symbol]],trades[Qty]),"")</f>
        <v>-321.59999999999997</v>
      </c>
      <c r="I9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7" spans="1:9" x14ac:dyDescent="0.25">
      <c r="A97" s="1">
        <v>45845.596875000003</v>
      </c>
      <c r="B97" t="s">
        <v>83</v>
      </c>
      <c r="C97">
        <v>10</v>
      </c>
      <c r="D97">
        <v>35.5</v>
      </c>
      <c r="E97">
        <v>-355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7" s="2">
        <f>RTD("tos.rtd", , "LAST", trades[[#This Row],[Symbol]])</f>
        <v>79.3</v>
      </c>
      <c r="H97" s="2">
        <f>IFERROR((trades[[#This Row],[Current Price]]-trades[[#This Row],[Avg Price]])*SUMIF(trades[Symbol],trades[[#This Row],[Symbol]],trades[Qty]),"")</f>
        <v>438</v>
      </c>
      <c r="I9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8" spans="1:9" x14ac:dyDescent="0.25">
      <c r="A98" s="1">
        <v>45782.458761574075</v>
      </c>
      <c r="B98" t="s">
        <v>84</v>
      </c>
      <c r="C98">
        <v>10</v>
      </c>
      <c r="D98">
        <v>39.99</v>
      </c>
      <c r="E98">
        <v>-399.90000000000003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8" s="2">
        <f>RTD("tos.rtd", , "LAST", trades[[#This Row],[Symbol]])</f>
        <v>64.97</v>
      </c>
      <c r="H98" s="2">
        <f>IFERROR((trades[[#This Row],[Current Price]]-trades[[#This Row],[Avg Price]])*SUMIF(trades[Symbol],trades[[#This Row],[Symbol]],trades[Qty]),"")</f>
        <v>249.79999999999995</v>
      </c>
      <c r="I9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9" spans="1:9" x14ac:dyDescent="0.25">
      <c r="A99" s="1">
        <v>45782.395844907405</v>
      </c>
      <c r="B99" t="s">
        <v>85</v>
      </c>
      <c r="C99">
        <v>10</v>
      </c>
      <c r="D99">
        <v>35.51</v>
      </c>
      <c r="E99">
        <v>-355.09999999999997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99" s="2">
        <f>RTD("tos.rtd", , "LAST", trades[[#This Row],[Symbol]])</f>
        <v>53.46</v>
      </c>
      <c r="H99" s="2">
        <f>IFERROR((trades[[#This Row],[Current Price]]-trades[[#This Row],[Avg Price]])*SUMIF(trades[Symbol],trades[[#This Row],[Symbol]],trades[Qty]),"")</f>
        <v>299.90000000000009</v>
      </c>
      <c r="I9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0" spans="1:9" x14ac:dyDescent="0.25">
      <c r="A100" s="1">
        <v>45937.395856481482</v>
      </c>
      <c r="B100" t="s">
        <v>85</v>
      </c>
      <c r="C100">
        <v>10</v>
      </c>
      <c r="D100">
        <v>41.42</v>
      </c>
      <c r="E100">
        <v>-414.20000000000005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53.46</v>
      </c>
      <c r="H100" s="2">
        <f>IFERROR((trades[[#This Row],[Current Price]]-trades[[#This Row],[Avg Price]])*SUMIF(trades[Symbol],trades[[#This Row],[Symbol]],trades[Qty]),"")</f>
        <v>299.90000000000009</v>
      </c>
      <c r="I10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1" spans="1:9" x14ac:dyDescent="0.25">
      <c r="A101" s="1">
        <v>45807.521608796298</v>
      </c>
      <c r="B101" t="s">
        <v>86</v>
      </c>
      <c r="C101">
        <v>30</v>
      </c>
      <c r="D101">
        <v>16.600000000000001</v>
      </c>
      <c r="E101">
        <v>-498.00000000000006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1" s="2">
        <f>RTD("tos.rtd", , "LAST", trades[[#This Row],[Symbol]])</f>
        <v>18.809999999999999</v>
      </c>
      <c r="H101" s="2">
        <f>IFERROR((trades[[#This Row],[Current Price]]-trades[[#This Row],[Avg Price]])*SUMIF(trades[Symbol],trades[[#This Row],[Symbol]],trades[Qty]),"")</f>
        <v>254.5499999999997</v>
      </c>
      <c r="I10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2" spans="1:9" x14ac:dyDescent="0.25">
      <c r="A102" s="1">
        <v>45751.296539351853</v>
      </c>
      <c r="B102" t="s">
        <v>86</v>
      </c>
      <c r="C102">
        <v>25</v>
      </c>
      <c r="D102">
        <v>17</v>
      </c>
      <c r="E102">
        <v>-425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18.809999999999999</v>
      </c>
      <c r="H102" s="2">
        <f>IFERROR((trades[[#This Row],[Current Price]]-trades[[#This Row],[Avg Price]])*SUMIF(trades[Symbol],trades[[#This Row],[Symbol]],trades[Qty]),"")</f>
        <v>254.5499999999997</v>
      </c>
      <c r="I10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3" spans="1:9" x14ac:dyDescent="0.25">
      <c r="A103" s="1">
        <v>45751.296539351853</v>
      </c>
      <c r="B103" t="s">
        <v>86</v>
      </c>
      <c r="C103">
        <v>5</v>
      </c>
      <c r="D103">
        <v>16.98</v>
      </c>
      <c r="E103">
        <v>-84.9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18.809999999999999</v>
      </c>
      <c r="H103" s="2">
        <f>IFERROR((trades[[#This Row],[Current Price]]-trades[[#This Row],[Avg Price]])*SUMIF(trades[Symbol],trades[[#This Row],[Symbol]],trades[Qty]),"")</f>
        <v>254.5499999999997</v>
      </c>
      <c r="I10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4" spans="1:9" x14ac:dyDescent="0.25">
      <c r="A104" s="1">
        <v>45902.395844907405</v>
      </c>
      <c r="B104" t="s">
        <v>86</v>
      </c>
      <c r="C104">
        <v>25</v>
      </c>
      <c r="D104">
        <v>21.1</v>
      </c>
      <c r="E104">
        <v>-527.5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18.809999999999999</v>
      </c>
      <c r="H104" s="2">
        <f>IFERROR((trades[[#This Row],[Current Price]]-trades[[#This Row],[Avg Price]])*SUMIF(trades[Symbol],trades[[#This Row],[Symbol]],trades[Qty]),"")</f>
        <v>254.5499999999997</v>
      </c>
      <c r="I10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5" spans="1:9" x14ac:dyDescent="0.25">
      <c r="A105" s="1">
        <v>45840.395844907405</v>
      </c>
      <c r="B105" t="s">
        <v>86</v>
      </c>
      <c r="C105">
        <v>30</v>
      </c>
      <c r="D105">
        <v>17</v>
      </c>
      <c r="E105">
        <v>-510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18.809999999999999</v>
      </c>
      <c r="H105" s="2">
        <f>IFERROR((trades[[#This Row],[Current Price]]-trades[[#This Row],[Avg Price]])*SUMIF(trades[Symbol],trades[[#This Row],[Symbol]],trades[Qty]),"")</f>
        <v>254.5499999999997</v>
      </c>
      <c r="I10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6" spans="1:9" x14ac:dyDescent="0.25">
      <c r="A106" s="1">
        <v>45810.291759259257</v>
      </c>
      <c r="B106" t="s">
        <v>86</v>
      </c>
      <c r="C106">
        <v>30</v>
      </c>
      <c r="D106">
        <v>16.72</v>
      </c>
      <c r="E106">
        <v>-501.59999999999997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18.809999999999999</v>
      </c>
      <c r="H106" s="2">
        <f>IFERROR((trades[[#This Row],[Current Price]]-trades[[#This Row],[Avg Price]])*SUMIF(trades[Symbol],trades[[#This Row],[Symbol]],trades[Qty]),"")</f>
        <v>254.5499999999997</v>
      </c>
      <c r="I10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7" spans="1:9" x14ac:dyDescent="0.25">
      <c r="A107" s="1">
        <v>45874.395833333336</v>
      </c>
      <c r="B107" t="s">
        <v>86</v>
      </c>
      <c r="C107">
        <v>30</v>
      </c>
      <c r="D107">
        <v>16.34</v>
      </c>
      <c r="E107">
        <v>-490.2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18.809999999999999</v>
      </c>
      <c r="H107" s="2">
        <f>IFERROR((trades[[#This Row],[Current Price]]-trades[[#This Row],[Avg Price]])*SUMIF(trades[Symbol],trades[[#This Row],[Symbol]],trades[Qty]),"")</f>
        <v>254.5499999999997</v>
      </c>
      <c r="I10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8" spans="1:9" x14ac:dyDescent="0.25">
      <c r="A108" s="1">
        <v>45902.395856481482</v>
      </c>
      <c r="B108" t="s">
        <v>87</v>
      </c>
      <c r="C108">
        <v>5</v>
      </c>
      <c r="D108">
        <v>95.03</v>
      </c>
      <c r="E108">
        <v>-475.15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8" s="2">
        <f>RTD("tos.rtd", , "LAST", trades[[#This Row],[Symbol]])</f>
        <v>111.3</v>
      </c>
      <c r="H108" s="2">
        <f>IFERROR((trades[[#This Row],[Current Price]]-trades[[#This Row],[Avg Price]])*SUMIF(trades[Symbol],trades[[#This Row],[Symbol]],trades[Qty]),"")</f>
        <v>81.34999999999998</v>
      </c>
      <c r="I10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9" spans="1:9" x14ac:dyDescent="0.25">
      <c r="A109" s="1">
        <v>45902.395856481482</v>
      </c>
      <c r="B109" t="s">
        <v>88</v>
      </c>
      <c r="C109">
        <v>5</v>
      </c>
      <c r="D109">
        <v>66.14</v>
      </c>
      <c r="E109">
        <v>-330.7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09" s="2">
        <f>RTD("tos.rtd", , "LAST", trades[[#This Row],[Symbol]])</f>
        <v>63.57</v>
      </c>
      <c r="H109" s="2">
        <f>IFERROR((trades[[#This Row],[Current Price]]-trades[[#This Row],[Avg Price]])*SUMIF(trades[Symbol],trades[[#This Row],[Symbol]],trades[Qty]),"")</f>
        <v>-24.550000000000161</v>
      </c>
      <c r="I10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0" spans="1:9" x14ac:dyDescent="0.25">
      <c r="A110" s="1">
        <v>45840.418263888889</v>
      </c>
      <c r="B110" t="s">
        <v>88</v>
      </c>
      <c r="C110">
        <v>5</v>
      </c>
      <c r="D110">
        <v>64</v>
      </c>
      <c r="E110">
        <v>-320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0" s="2">
        <f>RTD("tos.rtd", , "LAST", trades[[#This Row],[Symbol]])</f>
        <v>63.57</v>
      </c>
      <c r="H110" s="2">
        <f>IFERROR((trades[[#This Row],[Current Price]]-trades[[#This Row],[Avg Price]])*SUMIF(trades[Symbol],trades[[#This Row],[Symbol]],trades[Qty]),"")</f>
        <v>-24.550000000000161</v>
      </c>
      <c r="I1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1" spans="1:9" x14ac:dyDescent="0.25">
      <c r="A111" s="1">
        <v>45937.398043981484</v>
      </c>
      <c r="B111" t="s">
        <v>88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1" s="2">
        <f>RTD("tos.rtd", , "LAST", trades[[#This Row],[Symbol]])</f>
        <v>63.57</v>
      </c>
      <c r="H111" s="2">
        <f>IFERROR((trades[[#This Row],[Current Price]]-trades[[#This Row],[Avg Price]])*SUMIF(trades[Symbol],trades[[#This Row],[Symbol]],trades[Qty]),"")</f>
        <v>-24.550000000000161</v>
      </c>
      <c r="I1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2" spans="1:9" x14ac:dyDescent="0.25">
      <c r="A112" s="1">
        <v>45874.395856481482</v>
      </c>
      <c r="B112" t="s">
        <v>89</v>
      </c>
      <c r="C112">
        <v>65</v>
      </c>
      <c r="D112">
        <v>6.85</v>
      </c>
      <c r="E112">
        <v>-445.25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2" s="2">
        <f>RTD("tos.rtd", , "LAST", trades[[#This Row],[Symbol]])</f>
        <v>5.78</v>
      </c>
      <c r="H112" s="2">
        <f>IFERROR((trades[[#This Row],[Current Price]]-trades[[#This Row],[Avg Price]])*SUMIF(trades[Symbol],trades[[#This Row],[Symbol]],trades[Qty]),"")</f>
        <v>-74.899999999999963</v>
      </c>
      <c r="I1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3" spans="1:9" x14ac:dyDescent="0.25">
      <c r="A113" s="1">
        <v>45874.395856481482</v>
      </c>
      <c r="B113" t="s">
        <v>89</v>
      </c>
      <c r="C113">
        <v>5</v>
      </c>
      <c r="D113">
        <v>6.85</v>
      </c>
      <c r="E113">
        <v>-34.25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5.78</v>
      </c>
      <c r="H113" s="2">
        <f>IFERROR((trades[[#This Row],[Current Price]]-trades[[#This Row],[Avg Price]])*SUMIF(trades[Symbol],trades[[#This Row],[Symbol]],trades[Qty]),"")</f>
        <v>-74.899999999999963</v>
      </c>
      <c r="I1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4" spans="1:9" x14ac:dyDescent="0.25">
      <c r="A114" s="1">
        <v>45751.515601851854</v>
      </c>
      <c r="B114" t="s">
        <v>90</v>
      </c>
      <c r="C114">
        <v>5</v>
      </c>
      <c r="D114">
        <v>58</v>
      </c>
      <c r="E114">
        <v>-290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4" s="2">
        <f>RTD("tos.rtd", , "LAST", trades[[#This Row],[Symbol]])</f>
        <v>74.42</v>
      </c>
      <c r="H114" s="2">
        <f>IFERROR((trades[[#This Row],[Current Price]]-trades[[#This Row],[Avg Price]])*SUMIF(trades[Symbol],trades[[#This Row],[Symbol]],trades[Qty]),"")</f>
        <v>82.100000000000009</v>
      </c>
      <c r="I1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5" spans="1:9" x14ac:dyDescent="0.25">
      <c r="A115" s="1">
        <v>45782.396736111114</v>
      </c>
      <c r="B115" t="s">
        <v>91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69</v>
      </c>
      <c r="H115" s="2">
        <f>IFERROR((trades[[#This Row],[Current Price]]-trades[[#This Row],[Avg Price]])*SUMIF(trades[Symbol],trades[[#This Row],[Symbol]],trades[Qty]),"")</f>
        <v>50</v>
      </c>
      <c r="I1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6" spans="1:9" x14ac:dyDescent="0.25">
      <c r="A116" s="1">
        <v>45937.395844907405</v>
      </c>
      <c r="B116" t="s">
        <v>92</v>
      </c>
      <c r="C116">
        <v>15</v>
      </c>
      <c r="D116">
        <v>32.25</v>
      </c>
      <c r="E116">
        <v>-483.75</v>
      </c>
      <c r="F1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6" s="2">
        <f>RTD("tos.rtd", , "LAST", trades[[#This Row],[Symbol]])</f>
        <v>28.05</v>
      </c>
      <c r="H116" s="2">
        <f>IFERROR((trades[[#This Row],[Current Price]]-trades[[#This Row],[Avg Price]])*SUMIF(trades[Symbol],trades[[#This Row],[Symbol]],trades[Qty]),"")</f>
        <v>-145.05000000000013</v>
      </c>
      <c r="I1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7" spans="1:9" x14ac:dyDescent="0.25">
      <c r="A117" s="1">
        <v>45902.395902777775</v>
      </c>
      <c r="B117" t="s">
        <v>92</v>
      </c>
      <c r="C117">
        <v>15</v>
      </c>
      <c r="D117">
        <v>33.520000000000003</v>
      </c>
      <c r="E117">
        <v>-502.80000000000007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7" s="2">
        <f>RTD("tos.rtd", , "LAST", trades[[#This Row],[Symbol]])</f>
        <v>28.05</v>
      </c>
      <c r="H117" s="2">
        <f>IFERROR((trades[[#This Row],[Current Price]]-trades[[#This Row],[Avg Price]])*SUMIF(trades[Symbol],trades[[#This Row],[Symbol]],trades[Qty]),"")</f>
        <v>-145.05000000000013</v>
      </c>
      <c r="I1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8" spans="1:9" x14ac:dyDescent="0.25">
      <c r="A118" s="1">
        <v>45810.291666666664</v>
      </c>
      <c r="B118" t="s">
        <v>93</v>
      </c>
      <c r="C118">
        <v>35</v>
      </c>
      <c r="D118">
        <v>13.9</v>
      </c>
      <c r="E118">
        <v>-486.5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8" s="2">
        <f>RTD("tos.rtd", , "LAST", trades[[#This Row],[Symbol]])</f>
        <v>17.170000000000002</v>
      </c>
      <c r="H118" s="2">
        <f>IFERROR((trades[[#This Row],[Current Price]]-trades[[#This Row],[Avg Price]])*SUMIF(trades[Symbol],trades[[#This Row],[Symbol]],trades[Qty]),"")</f>
        <v>228.45000000000005</v>
      </c>
      <c r="I11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9" spans="1:9" x14ac:dyDescent="0.25">
      <c r="A119" s="1">
        <v>45840.395891203705</v>
      </c>
      <c r="B119" t="s">
        <v>93</v>
      </c>
      <c r="C119">
        <v>30</v>
      </c>
      <c r="D119">
        <v>15.05</v>
      </c>
      <c r="E119">
        <v>-451.5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17.170000000000002</v>
      </c>
      <c r="H119" s="2">
        <f>IFERROR((trades[[#This Row],[Current Price]]-trades[[#This Row],[Avg Price]])*SUMIF(trades[Symbol],trades[[#This Row],[Symbol]],trades[Qty]),"")</f>
        <v>228.45000000000005</v>
      </c>
      <c r="I1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0" spans="1:9" x14ac:dyDescent="0.25">
      <c r="A120" s="1">
        <v>45874.395844907405</v>
      </c>
      <c r="B120" t="s">
        <v>93</v>
      </c>
      <c r="C120">
        <v>30</v>
      </c>
      <c r="D120">
        <v>15.49</v>
      </c>
      <c r="E120">
        <v>-464.7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17.170000000000002</v>
      </c>
      <c r="H120" s="2">
        <f>IFERROR((trades[[#This Row],[Current Price]]-trades[[#This Row],[Avg Price]])*SUMIF(trades[Symbol],trades[[#This Row],[Symbol]],trades[Qty]),"")</f>
        <v>228.45000000000005</v>
      </c>
      <c r="I1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1" spans="1:9" x14ac:dyDescent="0.25">
      <c r="A121" s="1">
        <v>45902.395868055559</v>
      </c>
      <c r="B121" t="s">
        <v>94</v>
      </c>
      <c r="C121">
        <v>175</v>
      </c>
      <c r="D121">
        <v>2.75</v>
      </c>
      <c r="E121">
        <v>-481.25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1" s="2">
        <f>RTD("tos.rtd", , "LAST", trades[[#This Row],[Symbol]])</f>
        <v>2.56</v>
      </c>
      <c r="H121" s="2">
        <f>IFERROR((trades[[#This Row],[Current Price]]-trades[[#This Row],[Avg Price]])*SUMIF(trades[Symbol],trades[[#This Row],[Symbol]],trades[Qty]),"")</f>
        <v>-120.12000000000006</v>
      </c>
      <c r="I1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2" spans="1:9" x14ac:dyDescent="0.25">
      <c r="A122" s="1">
        <v>45874.395844907405</v>
      </c>
      <c r="B122" t="s">
        <v>94</v>
      </c>
      <c r="C122">
        <v>185</v>
      </c>
      <c r="D122">
        <v>2.7</v>
      </c>
      <c r="E122">
        <v>-499.50000000000006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2.56</v>
      </c>
      <c r="H122" s="2">
        <f>IFERROR((trades[[#This Row],[Current Price]]-trades[[#This Row],[Avg Price]])*SUMIF(trades[Symbol],trades[[#This Row],[Symbol]],trades[Qty]),"")</f>
        <v>-120.12000000000006</v>
      </c>
      <c r="I1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3" spans="1:9" x14ac:dyDescent="0.25">
      <c r="A123" s="1">
        <v>45806.422905092593</v>
      </c>
      <c r="B123" t="s">
        <v>94</v>
      </c>
      <c r="C123">
        <v>175</v>
      </c>
      <c r="D123">
        <v>2.9083999999999999</v>
      </c>
      <c r="E123">
        <v>-508.96999999999997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2.56</v>
      </c>
      <c r="H123" s="2">
        <f>IFERROR((trades[[#This Row],[Current Price]]-trades[[#This Row],[Avg Price]])*SUMIF(trades[Symbol],trades[[#This Row],[Symbol]],trades[Qty]),"")</f>
        <v>-120.12000000000006</v>
      </c>
      <c r="I1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4" spans="1:9" x14ac:dyDescent="0.25">
      <c r="A124" s="1">
        <v>45574.311527777776</v>
      </c>
      <c r="B124" t="s">
        <v>95</v>
      </c>
      <c r="C124">
        <v>20</v>
      </c>
      <c r="D124">
        <v>7.21</v>
      </c>
      <c r="E124">
        <v>-144.19999999999999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4" s="2">
        <f>RTD("tos.rtd", , "LAST", trades[[#This Row],[Symbol]])</f>
        <v>5.15</v>
      </c>
      <c r="H124" s="2">
        <f>IFERROR((trades[[#This Row],[Current Price]]-trades[[#This Row],[Avg Price]])*SUMIF(trades[Symbol],trades[[#This Row],[Symbol]],trades[Qty]),"")</f>
        <v>-729.74999999999989</v>
      </c>
      <c r="I1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5" spans="1:9" x14ac:dyDescent="0.25">
      <c r="A125" s="1">
        <v>45902.395856481482</v>
      </c>
      <c r="B125" t="s">
        <v>95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5" s="2">
        <f>RTD("tos.rtd", , "LAST", trades[[#This Row],[Symbol]])</f>
        <v>5.15</v>
      </c>
      <c r="H125" s="2">
        <f>IFERROR((trades[[#This Row],[Current Price]]-trades[[#This Row],[Avg Price]])*SUMIF(trades[Symbol],trades[[#This Row],[Symbol]],trades[Qty]),"")</f>
        <v>-729.74999999999989</v>
      </c>
      <c r="I1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6" spans="1:9" x14ac:dyDescent="0.25">
      <c r="A126" s="1">
        <v>45874.395844907405</v>
      </c>
      <c r="B126" t="s">
        <v>95</v>
      </c>
      <c r="C126">
        <v>35</v>
      </c>
      <c r="D126">
        <v>13.74</v>
      </c>
      <c r="E126">
        <v>-480.90000000000003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6" s="2">
        <f>RTD("tos.rtd", , "LAST", trades[[#This Row],[Symbol]])</f>
        <v>5.15</v>
      </c>
      <c r="H126" s="2">
        <f>IFERROR((trades[[#This Row],[Current Price]]-trades[[#This Row],[Avg Price]])*SUMIF(trades[Symbol],trades[[#This Row],[Symbol]],trades[Qty]),"")</f>
        <v>-729.74999999999989</v>
      </c>
      <c r="I1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7" spans="1:9" x14ac:dyDescent="0.25">
      <c r="A127" s="1">
        <v>45574.356805555559</v>
      </c>
      <c r="B127" t="s">
        <v>95</v>
      </c>
      <c r="C127">
        <v>5</v>
      </c>
      <c r="D127">
        <v>7.15</v>
      </c>
      <c r="E127">
        <v>-35.75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7" s="2">
        <f>RTD("tos.rtd", , "LAST", trades[[#This Row],[Symbol]])</f>
        <v>5.15</v>
      </c>
      <c r="H127" s="2">
        <f>IFERROR((trades[[#This Row],[Current Price]]-trades[[#This Row],[Avg Price]])*SUMIF(trades[Symbol],trades[[#This Row],[Symbol]],trades[Qty]),"")</f>
        <v>-729.74999999999989</v>
      </c>
      <c r="I1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8" spans="1:9" x14ac:dyDescent="0.25">
      <c r="A128" s="1">
        <v>45574.393252314818</v>
      </c>
      <c r="B128" t="s">
        <v>95</v>
      </c>
      <c r="C128">
        <v>40</v>
      </c>
      <c r="D128">
        <v>7.21</v>
      </c>
      <c r="E128">
        <v>-288.39999999999998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5.15</v>
      </c>
      <c r="H128" s="2">
        <f>IFERROR((trades[[#This Row],[Current Price]]-trades[[#This Row],[Avg Price]])*SUMIF(trades[Symbol],trades[[#This Row],[Symbol]],trades[Qty]),"")</f>
        <v>-729.74999999999989</v>
      </c>
      <c r="I1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9" spans="1:9" x14ac:dyDescent="0.25">
      <c r="A129" s="1">
        <v>45663.659062500003</v>
      </c>
      <c r="B129" t="s">
        <v>96</v>
      </c>
      <c r="C129">
        <v>100</v>
      </c>
      <c r="D129">
        <v>4</v>
      </c>
      <c r="E129">
        <v>-400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29" s="2">
        <f>RTD("tos.rtd", , "LAST", trades[[#This Row],[Symbol]])</f>
        <v>6.87</v>
      </c>
      <c r="H129" s="2">
        <f>IFERROR((trades[[#This Row],[Current Price]]-trades[[#This Row],[Avg Price]])*SUMIF(trades[Symbol],trades[[#This Row],[Symbol]],trades[Qty]),"")</f>
        <v>287</v>
      </c>
      <c r="I1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0" spans="1:9" x14ac:dyDescent="0.25">
      <c r="A130" s="1">
        <v>45574.291666666664</v>
      </c>
      <c r="B130" t="s">
        <v>97</v>
      </c>
      <c r="C130">
        <v>75</v>
      </c>
      <c r="D130">
        <v>6.3</v>
      </c>
      <c r="E130">
        <v>-472.5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6.3</v>
      </c>
      <c r="G130" s="2">
        <f>RTD("tos.rtd", , "LAST", trades[[#This Row],[Symbol]])</f>
        <v>3.83</v>
      </c>
      <c r="H130" s="2">
        <f>IFERROR((trades[[#This Row],[Current Price]]-trades[[#This Row],[Avg Price]])*SUMIF(trades[Symbol],trades[[#This Row],[Symbol]],trades[Qty]),"")</f>
        <v>-49.399999999999991</v>
      </c>
      <c r="I1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1" spans="1:9" x14ac:dyDescent="0.25">
      <c r="A131" s="1">
        <v>45847.490763888891</v>
      </c>
      <c r="B131" t="s">
        <v>97</v>
      </c>
      <c r="C131">
        <v>-55</v>
      </c>
      <c r="D131">
        <v>6</v>
      </c>
      <c r="E131">
        <v>330</v>
      </c>
      <c r="F13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1" s="2">
        <f>RTD("tos.rtd", , "LAST", trades[[#This Row],[Symbol]])</f>
        <v>3.83</v>
      </c>
      <c r="H131" s="2" t="str">
        <f>IFERROR((trades[[#This Row],[Current Price]]-trades[[#This Row],[Avg Price]])*SUMIF(trades[Symbol],trades[[#This Row],[Symbol]],trades[Qty]),"")</f>
        <v/>
      </c>
      <c r="I131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-142.5</v>
      </c>
    </row>
    <row r="132" spans="1:9" x14ac:dyDescent="0.25">
      <c r="A132" s="1">
        <v>45937.395856481482</v>
      </c>
      <c r="B132" t="s">
        <v>98</v>
      </c>
      <c r="C132">
        <v>10</v>
      </c>
      <c r="D132">
        <v>43.19</v>
      </c>
      <c r="E132">
        <v>-431.9</v>
      </c>
      <c r="F1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2" s="2">
        <f>RTD("tos.rtd", , "LAST", trades[[#This Row],[Symbol]])</f>
        <v>50.74</v>
      </c>
      <c r="H132" s="2">
        <f>IFERROR((trades[[#This Row],[Current Price]]-trades[[#This Row],[Avg Price]])*SUMIF(trades[Symbol],trades[[#This Row],[Symbol]],trades[Qty]),"")</f>
        <v>142.69999999999996</v>
      </c>
      <c r="I1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3" spans="1:9" x14ac:dyDescent="0.25">
      <c r="A133" s="1">
        <v>45902.395844907405</v>
      </c>
      <c r="B133" t="s">
        <v>98</v>
      </c>
      <c r="C133">
        <v>10</v>
      </c>
      <c r="D133">
        <v>44.02</v>
      </c>
      <c r="E133">
        <v>-440.20000000000005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3" s="2">
        <f>RTD("tos.rtd", , "LAST", trades[[#This Row],[Symbol]])</f>
        <v>50.74</v>
      </c>
      <c r="H133" s="2">
        <f>IFERROR((trades[[#This Row],[Current Price]]-trades[[#This Row],[Avg Price]])*SUMIF(trades[Symbol],trades[[#This Row],[Symbol]],trades[Qty]),"")</f>
        <v>142.69999999999996</v>
      </c>
      <c r="I1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4" spans="1:9" x14ac:dyDescent="0.25">
      <c r="A134" s="1">
        <v>45810.291666666664</v>
      </c>
      <c r="B134" t="s">
        <v>99</v>
      </c>
      <c r="C134">
        <v>5</v>
      </c>
      <c r="D134">
        <v>80.989999999999995</v>
      </c>
      <c r="E134">
        <v>-404.95</v>
      </c>
      <c r="F1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4" s="2">
        <f>RTD("tos.rtd", , "LAST", trades[[#This Row],[Symbol]])</f>
        <v>88.73</v>
      </c>
      <c r="H134" s="2">
        <f>IFERROR((trades[[#This Row],[Current Price]]-trades[[#This Row],[Avg Price]])*SUMIF(trades[Symbol],trades[[#This Row],[Symbol]],trades[Qty]),"")</f>
        <v>140.35000000000025</v>
      </c>
      <c r="I1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5" spans="1:9" x14ac:dyDescent="0.25">
      <c r="A135" s="1">
        <v>45840.395833333336</v>
      </c>
      <c r="B135" t="s">
        <v>99</v>
      </c>
      <c r="C135">
        <v>5</v>
      </c>
      <c r="D135">
        <v>77.099999999999994</v>
      </c>
      <c r="E135">
        <v>-385.5</v>
      </c>
      <c r="F1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5" s="2">
        <f>RTD("tos.rtd", , "LAST", trades[[#This Row],[Symbol]])</f>
        <v>88.73</v>
      </c>
      <c r="H135" s="2">
        <f>IFERROR((trades[[#This Row],[Current Price]]-trades[[#This Row],[Avg Price]])*SUMIF(trades[Symbol],trades[[#This Row],[Symbol]],trades[Qty]),"")</f>
        <v>140.35000000000025</v>
      </c>
      <c r="I1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6" spans="1:9" x14ac:dyDescent="0.25">
      <c r="A136" s="1">
        <v>45902.395856481482</v>
      </c>
      <c r="B136" t="s">
        <v>99</v>
      </c>
      <c r="C136">
        <v>5</v>
      </c>
      <c r="D136">
        <v>80.03</v>
      </c>
      <c r="E136">
        <v>-400.15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6" s="2">
        <f>RTD("tos.rtd", , "LAST", trades[[#This Row],[Symbol]])</f>
        <v>88.73</v>
      </c>
      <c r="H136" s="2">
        <f>IFERROR((trades[[#This Row],[Current Price]]-trades[[#This Row],[Avg Price]])*SUMIF(trades[Symbol],trades[[#This Row],[Symbol]],trades[Qty]),"")</f>
        <v>140.35000000000025</v>
      </c>
      <c r="I1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13" sqref="H13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6" bestFit="1" customWidth="1"/>
    <col min="5" max="5" width="12" bestFit="1" customWidth="1"/>
    <col min="6" max="6" width="11.42578125" bestFit="1" customWidth="1"/>
    <col min="7" max="7" width="14.85546875" bestFit="1" customWidth="1"/>
    <col min="8" max="9" width="12.140625" bestFit="1" customWidth="1"/>
    <col min="10" max="11" width="14.28515625" bestFit="1" customWidth="1"/>
    <col min="12" max="12" width="11" bestFit="1" customWidth="1"/>
    <col min="13" max="13" width="15.5703125" bestFit="1" customWidth="1"/>
    <col min="14" max="15" width="11" bestFit="1" customWidth="1"/>
    <col min="16" max="16" width="12.7109375" customWidth="1"/>
    <col min="17" max="17" width="12.5703125" customWidth="1"/>
    <col min="18" max="18" width="7" customWidth="1"/>
    <col min="19" max="19" width="13.42578125" customWidth="1"/>
    <col min="20" max="20" width="5.42578125" customWidth="1"/>
    <col min="21" max="21" width="24.7109375" customWidth="1"/>
    <col min="22" max="22" width="15.85546875" customWidth="1"/>
    <col min="23" max="23" width="15.42578125" customWidth="1"/>
    <col min="24" max="25" width="6.42578125" bestFit="1" customWidth="1"/>
    <col min="26" max="26" width="6.140625" customWidth="1"/>
    <col min="27" max="27" width="6.42578125" bestFit="1" customWidth="1"/>
    <col min="28" max="28" width="3.28515625" bestFit="1" customWidth="1"/>
    <col min="29" max="29" width="6.42578125" bestFit="1" customWidth="1"/>
    <col min="30" max="30" width="5.42578125" bestFit="1" customWidth="1"/>
    <col min="31" max="31" width="3.28515625" bestFit="1" customWidth="1"/>
    <col min="32" max="34" width="6.42578125" bestFit="1" customWidth="1"/>
    <col min="35" max="35" width="3.28515625" bestFit="1" customWidth="1"/>
    <col min="36" max="36" width="6.42578125" bestFit="1" customWidth="1"/>
    <col min="37" max="38" width="3.28515625" bestFit="1" customWidth="1"/>
    <col min="39" max="40" width="5.42578125" bestFit="1" customWidth="1"/>
    <col min="41" max="41" width="3.28515625" bestFit="1" customWidth="1"/>
    <col min="42" max="43" width="6.42578125" bestFit="1" customWidth="1"/>
    <col min="44" max="44" width="4.28515625" bestFit="1" customWidth="1"/>
    <col min="45" max="45" width="6.42578125" bestFit="1" customWidth="1"/>
    <col min="46" max="46" width="5.42578125" bestFit="1" customWidth="1"/>
    <col min="47" max="48" width="6.42578125" bestFit="1" customWidth="1"/>
    <col min="49" max="49" width="5.42578125" bestFit="1" customWidth="1"/>
    <col min="50" max="50" width="6.42578125" bestFit="1" customWidth="1"/>
    <col min="51" max="51" width="5.42578125" bestFit="1" customWidth="1"/>
    <col min="52" max="52" width="4.28515625" bestFit="1" customWidth="1"/>
    <col min="53" max="53" width="6.42578125" bestFit="1" customWidth="1"/>
    <col min="54" max="54" width="5.42578125" bestFit="1" customWidth="1"/>
    <col min="55" max="55" width="6.42578125" bestFit="1" customWidth="1"/>
    <col min="56" max="56" width="3.28515625" bestFit="1" customWidth="1"/>
    <col min="57" max="58" width="6.42578125" bestFit="1" customWidth="1"/>
    <col min="59" max="59" width="5.42578125" bestFit="1" customWidth="1"/>
    <col min="60" max="60" width="6.42578125" bestFit="1" customWidth="1"/>
    <col min="61" max="61" width="3.28515625" bestFit="1" customWidth="1"/>
    <col min="62" max="64" width="6.42578125" bestFit="1" customWidth="1"/>
    <col min="65" max="65" width="4.28515625" bestFit="1" customWidth="1"/>
    <col min="66" max="66" width="6.42578125" bestFit="1" customWidth="1"/>
    <col min="67" max="67" width="5.42578125" bestFit="1" customWidth="1"/>
    <col min="68" max="70" width="6.42578125" bestFit="1" customWidth="1"/>
    <col min="71" max="71" width="4.28515625" bestFit="1" customWidth="1"/>
    <col min="72" max="74" width="6.42578125" bestFit="1" customWidth="1"/>
    <col min="75" max="76" width="5.42578125" bestFit="1" customWidth="1"/>
    <col min="77" max="77" width="4.28515625" bestFit="1" customWidth="1"/>
    <col min="78" max="78" width="6.42578125" bestFit="1" customWidth="1"/>
    <col min="79" max="79" width="4.28515625" bestFit="1" customWidth="1"/>
    <col min="80" max="84" width="6.42578125" bestFit="1" customWidth="1"/>
    <col min="85" max="85" width="5.42578125" bestFit="1" customWidth="1"/>
    <col min="86" max="86" width="6.42578125" bestFit="1" customWidth="1"/>
    <col min="87" max="87" width="7.5703125" bestFit="1" customWidth="1"/>
    <col min="88" max="89" width="5.42578125" bestFit="1" customWidth="1"/>
    <col min="90" max="93" width="6.42578125" bestFit="1" customWidth="1"/>
    <col min="94" max="95" width="3.28515625" bestFit="1" customWidth="1"/>
    <col min="96" max="96" width="6.42578125" bestFit="1" customWidth="1"/>
    <col min="97" max="97" width="7.5703125" bestFit="1" customWidth="1"/>
    <col min="98" max="99" width="6.42578125" bestFit="1" customWidth="1"/>
    <col min="100" max="101" width="5.42578125" bestFit="1" customWidth="1"/>
    <col min="102" max="102" width="7.5703125" bestFit="1" customWidth="1"/>
    <col min="103" max="103" width="4.28515625" bestFit="1" customWidth="1"/>
    <col min="104" max="104" width="7.5703125" bestFit="1" customWidth="1"/>
    <col min="105" max="105" width="9.7109375" bestFit="1" customWidth="1"/>
    <col min="106" max="106" width="7.5703125" bestFit="1" customWidth="1"/>
    <col min="107" max="107" width="6.42578125" bestFit="1" customWidth="1"/>
    <col min="108" max="109" width="7.5703125" bestFit="1" customWidth="1"/>
    <col min="110" max="110" width="8.5703125" bestFit="1" customWidth="1"/>
    <col min="111" max="111" width="4.28515625" bestFit="1" customWidth="1"/>
    <col min="112" max="113" width="7.5703125" bestFit="1" customWidth="1"/>
    <col min="114" max="114" width="6.42578125" bestFit="1" customWidth="1"/>
    <col min="115" max="115" width="4.28515625" bestFit="1" customWidth="1"/>
    <col min="116" max="117" width="6.42578125" bestFit="1" customWidth="1"/>
    <col min="118" max="118" width="7.5703125" bestFit="1" customWidth="1"/>
    <col min="119" max="119" width="4.28515625" bestFit="1" customWidth="1"/>
    <col min="120" max="121" width="7.5703125" bestFit="1" customWidth="1"/>
    <col min="122" max="123" width="6.42578125" bestFit="1" customWidth="1"/>
    <col min="124" max="125" width="7.5703125" bestFit="1" customWidth="1"/>
    <col min="126" max="126" width="11.85546875" bestFit="1" customWidth="1"/>
  </cols>
  <sheetData>
    <row r="1" spans="1:14" ht="15.75" thickBot="1" x14ac:dyDescent="0.3">
      <c r="A1" s="41" t="str">
        <f>"Total stock count: " &amp; COUNTA(stocks[Symbol])</f>
        <v>Total stock count: 66</v>
      </c>
      <c r="B1" s="42"/>
      <c r="D1" s="18" t="s">
        <v>8</v>
      </c>
      <c r="E1" s="24">
        <f>SUM(stocks[Open P&amp;L])</f>
        <v>7852.4937500000024</v>
      </c>
      <c r="F1" s="21"/>
      <c r="G1" s="16" t="s">
        <v>17</v>
      </c>
      <c r="H1" s="24">
        <f>SUM(stocks[Realized P&amp;L])</f>
        <v>1577.12</v>
      </c>
      <c r="J1" s="16" t="s">
        <v>105</v>
      </c>
      <c r="K1" s="17">
        <f>ROUND(-SUMIF(trades[Capital or Gain], "&lt;0"),2)</f>
        <v>60240.91</v>
      </c>
      <c r="M1" s="16" t="s">
        <v>30</v>
      </c>
      <c r="N1" s="17">
        <f>SUMPRODUCT(stocks[Current Qty], stocks[Current Price])</f>
        <v>62965.993749999987</v>
      </c>
    </row>
    <row r="2" spans="1:14" ht="15.75" thickBot="1" x14ac:dyDescent="0.3">
      <c r="A2" s="41" t="str">
        <f>"Active stock count: " &amp; COUNTIF(stocks[Current Qty], "&lt;&gt;0")</f>
        <v>Active stock count: 64</v>
      </c>
      <c r="B2" s="42"/>
      <c r="D2" s="16" t="s">
        <v>13</v>
      </c>
      <c r="E2" s="23">
        <f>$E$1/$N$1</f>
        <v>0.1247100741580848</v>
      </c>
      <c r="F2" s="22"/>
      <c r="G2" s="16" t="s">
        <v>14</v>
      </c>
      <c r="H2" s="23">
        <f>$H$1/$N$1</f>
        <v>2.5047170799237965E-2</v>
      </c>
      <c r="J2" s="16" t="s">
        <v>104</v>
      </c>
      <c r="K2" s="17">
        <f>-SUM(stocks[Capital or P&amp;L])</f>
        <v>53911.30000000001</v>
      </c>
    </row>
    <row r="4" spans="1:14" s="7" customFormat="1" x14ac:dyDescent="0.25">
      <c r="A4" t="s">
        <v>2</v>
      </c>
      <c r="B4" t="s">
        <v>31</v>
      </c>
      <c r="C4" t="s">
        <v>7</v>
      </c>
      <c r="D4" t="s">
        <v>108</v>
      </c>
      <c r="E4" t="s">
        <v>8</v>
      </c>
      <c r="F4" t="s">
        <v>5</v>
      </c>
      <c r="G4" t="s">
        <v>17</v>
      </c>
    </row>
    <row r="5" spans="1:14" x14ac:dyDescent="0.25">
      <c r="A5" s="52" t="s">
        <v>35</v>
      </c>
      <c r="B5">
        <v>830</v>
      </c>
      <c r="C5">
        <f>RTD("tos.rtd", , "LAST", stocks[[#This Row],[Symbol]])</f>
        <v>2.9</v>
      </c>
      <c r="D5">
        <v>-1991.14</v>
      </c>
      <c r="E5" s="29">
        <f>IFERROR((stocks[[#This Row],[Current Price]]-stocks[[#This Row],[Avg Price]])*stocks[[#This Row],[Current Qty]],"")</f>
        <v>415</v>
      </c>
      <c r="F5">
        <v>2.4</v>
      </c>
      <c r="G5" s="14"/>
    </row>
    <row r="6" spans="1:14" x14ac:dyDescent="0.25">
      <c r="A6" s="52" t="s">
        <v>36</v>
      </c>
      <c r="B6">
        <v>5</v>
      </c>
      <c r="C6">
        <f>RTD("tos.rtd", , "LAST", stocks[[#This Row],[Symbol]])</f>
        <v>84.37</v>
      </c>
      <c r="D6">
        <v>-400</v>
      </c>
      <c r="E6" s="25">
        <f>IFERROR((stocks[[#This Row],[Current Price]]-stocks[[#This Row],[Avg Price]])*stocks[[#This Row],[Current Qty]],"")</f>
        <v>21.850000000000023</v>
      </c>
      <c r="F6">
        <v>80</v>
      </c>
      <c r="G6" s="14"/>
    </row>
    <row r="7" spans="1:14" x14ac:dyDescent="0.25">
      <c r="A7" s="52" t="s">
        <v>37</v>
      </c>
      <c r="B7">
        <v>5</v>
      </c>
      <c r="C7">
        <f>RTD("tos.rtd", , "LAST", stocks[[#This Row],[Symbol]])</f>
        <v>241.21</v>
      </c>
      <c r="D7">
        <v>-1245.6500000000001</v>
      </c>
      <c r="E7" s="25">
        <f>IFERROR((stocks[[#This Row],[Current Price]]-stocks[[#This Row],[Avg Price]])*stocks[[#This Row],[Current Qty]],"")</f>
        <v>-39.599999999999937</v>
      </c>
      <c r="F7">
        <v>249.13</v>
      </c>
      <c r="G7" s="14"/>
    </row>
    <row r="8" spans="1:14" x14ac:dyDescent="0.25">
      <c r="A8" s="52" t="s">
        <v>38</v>
      </c>
      <c r="B8">
        <v>50</v>
      </c>
      <c r="C8">
        <f>RTD("tos.rtd", , "LAST", stocks[[#This Row],[Symbol]])</f>
        <v>24.02</v>
      </c>
      <c r="D8">
        <v>-521</v>
      </c>
      <c r="E8" s="25">
        <f>IFERROR((stocks[[#This Row],[Current Price]]-stocks[[#This Row],[Avg Price]])*stocks[[#This Row],[Current Qty]],"")</f>
        <v>680</v>
      </c>
      <c r="F8">
        <v>10.42</v>
      </c>
      <c r="G8" s="14"/>
    </row>
    <row r="9" spans="1:14" x14ac:dyDescent="0.25">
      <c r="A9" s="52" t="s">
        <v>39</v>
      </c>
      <c r="B9">
        <v>375</v>
      </c>
      <c r="C9">
        <f>RTD("tos.rtd", , "LAST", stocks[[#This Row],[Symbol]])</f>
        <v>0.99504999999999999</v>
      </c>
      <c r="D9">
        <v>-498.75</v>
      </c>
      <c r="E9" s="25">
        <f>IFERROR((stocks[[#This Row],[Current Price]]-stocks[[#This Row],[Avg Price]])*stocks[[#This Row],[Current Qty]],"")</f>
        <v>-125.60625000000003</v>
      </c>
      <c r="F9">
        <v>1.33</v>
      </c>
      <c r="G9" s="14"/>
    </row>
    <row r="10" spans="1:14" x14ac:dyDescent="0.25">
      <c r="A10" s="52" t="s">
        <v>40</v>
      </c>
      <c r="B10">
        <v>10</v>
      </c>
      <c r="C10">
        <f>RTD("tos.rtd", , "LAST", stocks[[#This Row],[Symbol]])</f>
        <v>59.06</v>
      </c>
      <c r="D10">
        <v>-389.5</v>
      </c>
      <c r="E10" s="25">
        <f>IFERROR((stocks[[#This Row],[Current Price]]-stocks[[#This Row],[Avg Price]])*stocks[[#This Row],[Current Qty]],"")</f>
        <v>201.1</v>
      </c>
      <c r="F10">
        <v>38.950000000000003</v>
      </c>
      <c r="G10" s="14"/>
    </row>
    <row r="11" spans="1:14" x14ac:dyDescent="0.25">
      <c r="A11" s="52" t="s">
        <v>41</v>
      </c>
      <c r="B11">
        <v>20</v>
      </c>
      <c r="C11">
        <f>RTD("tos.rtd", , "LAST", stocks[[#This Row],[Symbol]])</f>
        <v>69.89</v>
      </c>
      <c r="D11">
        <v>-1239.9000000000001</v>
      </c>
      <c r="E11" s="25">
        <f>IFERROR((stocks[[#This Row],[Current Price]]-stocks[[#This Row],[Avg Price]])*stocks[[#This Row],[Current Qty]],"")</f>
        <v>157.80000000000001</v>
      </c>
      <c r="F11">
        <v>62</v>
      </c>
      <c r="G11" s="14"/>
    </row>
    <row r="12" spans="1:14" x14ac:dyDescent="0.25">
      <c r="A12" s="52" t="s">
        <v>42</v>
      </c>
      <c r="B12">
        <v>5</v>
      </c>
      <c r="C12">
        <f>RTD("tos.rtd", , "LAST", stocks[[#This Row],[Symbol]])</f>
        <v>184.32</v>
      </c>
      <c r="D12">
        <v>-353.1</v>
      </c>
      <c r="E12" s="25">
        <f>IFERROR((stocks[[#This Row],[Current Price]]-stocks[[#This Row],[Avg Price]])*stocks[[#This Row],[Current Qty]],"")</f>
        <v>568.5</v>
      </c>
      <c r="F12">
        <v>70.62</v>
      </c>
      <c r="G12" s="14"/>
    </row>
    <row r="13" spans="1:14" x14ac:dyDescent="0.25">
      <c r="A13" s="52" t="s">
        <v>43</v>
      </c>
      <c r="B13">
        <v>75</v>
      </c>
      <c r="C13">
        <f>RTD("tos.rtd", , "LAST", stocks[[#This Row],[Symbol]])</f>
        <v>35.229999999999997</v>
      </c>
      <c r="D13">
        <v>-1251.75</v>
      </c>
      <c r="E13" s="25">
        <f>IFERROR((stocks[[#This Row],[Current Price]]-stocks[[#This Row],[Avg Price]])*stocks[[#This Row],[Current Qty]],"")</f>
        <v>1390.4999999999998</v>
      </c>
      <c r="F13">
        <v>16.690000000000001</v>
      </c>
      <c r="G13" s="14"/>
    </row>
    <row r="14" spans="1:14" x14ac:dyDescent="0.25">
      <c r="A14" s="52" t="s">
        <v>44</v>
      </c>
      <c r="B14">
        <v>5</v>
      </c>
      <c r="C14">
        <f>RTD("tos.rtd", , "LAST", stocks[[#This Row],[Symbol]])</f>
        <v>83</v>
      </c>
      <c r="D14">
        <v>-349.15</v>
      </c>
      <c r="E14" s="25">
        <f>IFERROR((stocks[[#This Row],[Current Price]]-stocks[[#This Row],[Avg Price]])*stocks[[#This Row],[Current Qty]],"")</f>
        <v>65.850000000000009</v>
      </c>
      <c r="F14">
        <v>69.83</v>
      </c>
      <c r="G14" s="14"/>
    </row>
    <row r="15" spans="1:14" x14ac:dyDescent="0.25">
      <c r="A15" s="52" t="s">
        <v>45</v>
      </c>
      <c r="B15">
        <v>0</v>
      </c>
      <c r="C15">
        <f>RTD("tos.rtd", , "LAST", stocks[[#This Row],[Symbol]])</f>
        <v>9</v>
      </c>
      <c r="D15">
        <v>217.62</v>
      </c>
      <c r="E15" s="25">
        <f>IFERROR((stocks[[#This Row],[Current Price]]-stocks[[#This Row],[Avg Price]])*stocks[[#This Row],[Current Qty]],"")</f>
        <v>0</v>
      </c>
      <c r="G15" s="14">
        <v>717.62</v>
      </c>
    </row>
    <row r="16" spans="1:14" x14ac:dyDescent="0.25">
      <c r="A16" s="52" t="s">
        <v>46</v>
      </c>
      <c r="B16">
        <v>25</v>
      </c>
      <c r="C16">
        <f>RTD("tos.rtd", , "LAST", stocks[[#This Row],[Symbol]])</f>
        <v>11.04</v>
      </c>
      <c r="D16">
        <v>-475</v>
      </c>
      <c r="E16" s="25">
        <f>IFERROR((stocks[[#This Row],[Current Price]]-stocks[[#This Row],[Avg Price]])*stocks[[#This Row],[Current Qty]],"")</f>
        <v>-199.00000000000003</v>
      </c>
      <c r="F16">
        <v>19</v>
      </c>
      <c r="G16" s="14"/>
    </row>
    <row r="17" spans="1:18" x14ac:dyDescent="0.25">
      <c r="A17" s="52" t="s">
        <v>47</v>
      </c>
      <c r="B17">
        <v>10</v>
      </c>
      <c r="C17">
        <f>RTD("tos.rtd", , "LAST", stocks[[#This Row],[Symbol]])</f>
        <v>97.42</v>
      </c>
      <c r="D17">
        <v>-987.5</v>
      </c>
      <c r="E17" s="25">
        <f>IFERROR((stocks[[#This Row],[Current Price]]-stocks[[#This Row],[Avg Price]])*stocks[[#This Row],[Current Qty]],"")</f>
        <v>-13.299999999999983</v>
      </c>
      <c r="F17">
        <v>98.75</v>
      </c>
      <c r="G17" s="14"/>
    </row>
    <row r="18" spans="1:18" x14ac:dyDescent="0.25">
      <c r="A18" s="52" t="s">
        <v>48</v>
      </c>
      <c r="B18">
        <v>15</v>
      </c>
      <c r="C18">
        <f>RTD("tos.rtd", , "LAST", stocks[[#This Row],[Symbol]])</f>
        <v>27.38</v>
      </c>
      <c r="D18">
        <v>-499.95</v>
      </c>
      <c r="E18" s="25">
        <f>IFERROR((stocks[[#This Row],[Current Price]]-stocks[[#This Row],[Avg Price]])*stocks[[#This Row],[Current Qty]],"")</f>
        <v>-89.249999999999986</v>
      </c>
      <c r="F18">
        <v>33.33</v>
      </c>
      <c r="G18" s="14"/>
    </row>
    <row r="19" spans="1:18" x14ac:dyDescent="0.25">
      <c r="A19" s="52" t="s">
        <v>49</v>
      </c>
      <c r="B19">
        <v>5</v>
      </c>
      <c r="C19">
        <f>RTD("tos.rtd", , "LAST", stocks[[#This Row],[Symbol]])</f>
        <v>90.76</v>
      </c>
      <c r="D19">
        <v>-370</v>
      </c>
      <c r="E19" s="25">
        <f>IFERROR((stocks[[#This Row],[Current Price]]-stocks[[#This Row],[Avg Price]])*stocks[[#This Row],[Current Qty]],"")</f>
        <v>83.800000000000026</v>
      </c>
      <c r="F19">
        <v>74</v>
      </c>
      <c r="G19" s="14"/>
    </row>
    <row r="20" spans="1:18" x14ac:dyDescent="0.25">
      <c r="A20" s="52" t="s">
        <v>50</v>
      </c>
      <c r="B20">
        <v>5</v>
      </c>
      <c r="C20">
        <f>RTD("tos.rtd", , "LAST", stocks[[#This Row],[Symbol]])</f>
        <v>104.91</v>
      </c>
      <c r="D20">
        <v>-448.45</v>
      </c>
      <c r="E20" s="25">
        <f>IFERROR((stocks[[#This Row],[Current Price]]-stocks[[#This Row],[Avg Price]])*stocks[[#This Row],[Current Qty]],"")</f>
        <v>76.099999999999994</v>
      </c>
      <c r="F20">
        <v>89.69</v>
      </c>
      <c r="G20" s="14"/>
    </row>
    <row r="21" spans="1:18" x14ac:dyDescent="0.25">
      <c r="A21" s="52" t="s">
        <v>51</v>
      </c>
      <c r="B21">
        <v>5</v>
      </c>
      <c r="C21">
        <f>RTD("tos.rtd", , "LAST", stocks[[#This Row],[Symbol]])</f>
        <v>124.58</v>
      </c>
      <c r="D21">
        <v>-500</v>
      </c>
      <c r="E21" s="25">
        <f>IFERROR((stocks[[#This Row],[Current Price]]-stocks[[#This Row],[Avg Price]])*stocks[[#This Row],[Current Qty]],"")</f>
        <v>122.89999999999999</v>
      </c>
      <c r="F21">
        <v>100</v>
      </c>
      <c r="G21" s="14"/>
    </row>
    <row r="22" spans="1:18" x14ac:dyDescent="0.25">
      <c r="A22" s="52" t="s">
        <v>52</v>
      </c>
      <c r="B22">
        <v>25</v>
      </c>
      <c r="C22">
        <f>RTD("tos.rtd", , "LAST", stocks[[#This Row],[Symbol]])</f>
        <v>74.5</v>
      </c>
      <c r="D22">
        <v>-1895.1</v>
      </c>
      <c r="E22" s="25">
        <f>IFERROR((stocks[[#This Row],[Current Price]]-stocks[[#This Row],[Avg Price]])*stocks[[#This Row],[Current Qty]],"")</f>
        <v>-32.499999999999929</v>
      </c>
      <c r="F22">
        <v>75.8</v>
      </c>
      <c r="G22" s="14"/>
      <c r="I22" s="43" t="s">
        <v>103</v>
      </c>
      <c r="J22" s="43"/>
      <c r="K22" s="43"/>
      <c r="L22" s="43"/>
      <c r="M22" s="43"/>
      <c r="N22" s="43"/>
      <c r="O22" s="43"/>
      <c r="P22" s="43"/>
      <c r="Q22" s="43"/>
      <c r="R22" s="31"/>
    </row>
    <row r="23" spans="1:18" x14ac:dyDescent="0.25">
      <c r="A23" s="52" t="s">
        <v>53</v>
      </c>
      <c r="B23">
        <v>45</v>
      </c>
      <c r="C23">
        <f>RTD("tos.rtd", , "LAST", stocks[[#This Row],[Symbol]])</f>
        <v>19.95</v>
      </c>
      <c r="D23">
        <v>-487.8</v>
      </c>
      <c r="E23" s="25">
        <f>IFERROR((stocks[[#This Row],[Current Price]]-stocks[[#This Row],[Avg Price]])*stocks[[#This Row],[Current Qty]],"")</f>
        <v>409.95</v>
      </c>
      <c r="F23">
        <v>10.84</v>
      </c>
      <c r="G23" s="14"/>
      <c r="I23" s="43"/>
      <c r="J23" s="43"/>
      <c r="K23" s="43"/>
      <c r="L23" s="43"/>
      <c r="M23" s="43"/>
      <c r="N23" s="43"/>
      <c r="O23" s="43"/>
      <c r="P23" s="43"/>
      <c r="Q23" s="43"/>
      <c r="R23" s="31"/>
    </row>
    <row r="24" spans="1:18" x14ac:dyDescent="0.25">
      <c r="A24" s="52" t="s">
        <v>54</v>
      </c>
      <c r="B24">
        <v>50</v>
      </c>
      <c r="C24">
        <f>RTD("tos.rtd", , "LAST", stocks[[#This Row],[Symbol]])</f>
        <v>8.57</v>
      </c>
      <c r="D24">
        <v>-502.5</v>
      </c>
      <c r="E24" s="25">
        <f>IFERROR((stocks[[#This Row],[Current Price]]-stocks[[#This Row],[Avg Price]])*stocks[[#This Row],[Current Qty]],"")</f>
        <v>-74.000000000000028</v>
      </c>
      <c r="F24">
        <v>10.050000000000001</v>
      </c>
      <c r="G24" s="14"/>
      <c r="I24" s="43"/>
      <c r="J24" s="43"/>
      <c r="K24" s="43"/>
      <c r="L24" s="43"/>
      <c r="M24" s="43"/>
      <c r="N24" s="43"/>
      <c r="O24" s="43"/>
      <c r="P24" s="43"/>
      <c r="Q24" s="43"/>
      <c r="R24" s="31"/>
    </row>
    <row r="25" spans="1:18" x14ac:dyDescent="0.25">
      <c r="A25" s="52" t="s">
        <v>55</v>
      </c>
      <c r="B25">
        <v>10</v>
      </c>
      <c r="C25">
        <f>RTD("tos.rtd", , "LAST", stocks[[#This Row],[Symbol]])</f>
        <v>74.02</v>
      </c>
      <c r="D25">
        <v>-881.3</v>
      </c>
      <c r="E25" s="25">
        <f>IFERROR((stocks[[#This Row],[Current Price]]-stocks[[#This Row],[Avg Price]])*stocks[[#This Row],[Current Qty]],"")</f>
        <v>-141.1</v>
      </c>
      <c r="F25">
        <v>88.13</v>
      </c>
      <c r="G25" s="14"/>
      <c r="I25" s="31"/>
      <c r="J25" s="31"/>
      <c r="K25" s="31"/>
      <c r="L25" s="31"/>
      <c r="M25" s="31"/>
      <c r="N25" s="31"/>
      <c r="O25" s="31"/>
      <c r="P25" s="31"/>
      <c r="Q25" s="31"/>
      <c r="R25" s="31"/>
    </row>
    <row r="26" spans="1:18" x14ac:dyDescent="0.25">
      <c r="A26" s="52" t="s">
        <v>56</v>
      </c>
      <c r="B26">
        <v>10</v>
      </c>
      <c r="C26">
        <f>RTD("tos.rtd", , "LAST", stocks[[#This Row],[Symbol]])</f>
        <v>52.8</v>
      </c>
      <c r="D26">
        <v>-445</v>
      </c>
      <c r="E26" s="25">
        <f>IFERROR((stocks[[#This Row],[Current Price]]-stocks[[#This Row],[Avg Price]])*stocks[[#This Row],[Current Qty]],"")</f>
        <v>82.999999999999972</v>
      </c>
      <c r="F26">
        <v>44.5</v>
      </c>
      <c r="G26" s="14"/>
    </row>
    <row r="27" spans="1:18" x14ac:dyDescent="0.25">
      <c r="A27" s="52" t="s">
        <v>57</v>
      </c>
      <c r="B27">
        <v>60</v>
      </c>
      <c r="C27">
        <f>RTD("tos.rtd", , "LAST", stocks[[#This Row],[Symbol]])</f>
        <v>5.0199999999999996</v>
      </c>
      <c r="D27">
        <v>-501.6</v>
      </c>
      <c r="E27" s="25">
        <f>IFERROR((stocks[[#This Row],[Current Price]]-stocks[[#This Row],[Avg Price]])*stocks[[#This Row],[Current Qty]],"")</f>
        <v>-200.39999999999998</v>
      </c>
      <c r="F27">
        <v>8.36</v>
      </c>
      <c r="G27" s="14"/>
    </row>
    <row r="28" spans="1:18" x14ac:dyDescent="0.25">
      <c r="A28" s="52" t="s">
        <v>58</v>
      </c>
      <c r="B28">
        <v>10</v>
      </c>
      <c r="C28">
        <f>RTD("tos.rtd", , "LAST", stocks[[#This Row],[Symbol]])</f>
        <v>38.97</v>
      </c>
      <c r="D28">
        <v>-411.5</v>
      </c>
      <c r="E28" s="25">
        <f>IFERROR((stocks[[#This Row],[Current Price]]-stocks[[#This Row],[Avg Price]])*stocks[[#This Row],[Current Qty]],"")</f>
        <v>-21.799999999999997</v>
      </c>
      <c r="F28">
        <v>41.15</v>
      </c>
      <c r="G28" s="14"/>
    </row>
    <row r="29" spans="1:18" x14ac:dyDescent="0.25">
      <c r="A29" s="52" t="s">
        <v>59</v>
      </c>
      <c r="B29">
        <v>20</v>
      </c>
      <c r="C29">
        <f>RTD("tos.rtd", , "LAST", stocks[[#This Row],[Symbol]])</f>
        <v>79.650000000000006</v>
      </c>
      <c r="D29">
        <v>-1890.75</v>
      </c>
      <c r="E29" s="25">
        <f>IFERROR((stocks[[#This Row],[Current Price]]-stocks[[#This Row],[Avg Price]])*stocks[[#This Row],[Current Qty]],"")</f>
        <v>-297.8</v>
      </c>
      <c r="F29">
        <v>94.54</v>
      </c>
      <c r="G29" s="14"/>
    </row>
    <row r="30" spans="1:18" x14ac:dyDescent="0.25">
      <c r="A30" s="52" t="s">
        <v>60</v>
      </c>
      <c r="B30">
        <v>90</v>
      </c>
      <c r="C30">
        <f>RTD("tos.rtd", , "LAST", stocks[[#This Row],[Symbol]])</f>
        <v>30</v>
      </c>
      <c r="D30">
        <v>-2376.4</v>
      </c>
      <c r="E30" s="25">
        <f>IFERROR((stocks[[#This Row],[Current Price]]-stocks[[#This Row],[Avg Price]])*stocks[[#This Row],[Current Qty]],"")</f>
        <v>324.00000000000011</v>
      </c>
      <c r="F30">
        <v>26.4</v>
      </c>
      <c r="G30" s="14"/>
    </row>
    <row r="31" spans="1:18" x14ac:dyDescent="0.25">
      <c r="A31" s="52" t="s">
        <v>61</v>
      </c>
      <c r="B31">
        <v>45</v>
      </c>
      <c r="C31">
        <f>RTD("tos.rtd", , "LAST", stocks[[#This Row],[Symbol]])</f>
        <v>33.03</v>
      </c>
      <c r="D31">
        <v>-1000.3</v>
      </c>
      <c r="E31" s="25">
        <f>IFERROR((stocks[[#This Row],[Current Price]]-stocks[[#This Row],[Avg Price]])*stocks[[#This Row],[Current Qty]],"")</f>
        <v>486.00000000000006</v>
      </c>
      <c r="F31">
        <v>22.23</v>
      </c>
      <c r="G31" s="14"/>
    </row>
    <row r="32" spans="1:18" x14ac:dyDescent="0.25">
      <c r="A32" s="52" t="s">
        <v>62</v>
      </c>
      <c r="B32">
        <v>45</v>
      </c>
      <c r="C32">
        <f>RTD("tos.rtd", , "LAST", stocks[[#This Row],[Symbol]])</f>
        <v>37.39</v>
      </c>
      <c r="D32">
        <v>-990.2</v>
      </c>
      <c r="E32" s="25">
        <f>IFERROR((stocks[[#This Row],[Current Price]]-stocks[[#This Row],[Avg Price]])*stocks[[#This Row],[Current Qty]],"")</f>
        <v>692.55000000000007</v>
      </c>
      <c r="F32">
        <v>22</v>
      </c>
      <c r="G32" s="14"/>
    </row>
    <row r="33" spans="1:17" x14ac:dyDescent="0.25">
      <c r="A33" s="52" t="s">
        <v>63</v>
      </c>
      <c r="B33">
        <v>575</v>
      </c>
      <c r="C33">
        <f>RTD("tos.rtd", , "LAST", stocks[[#This Row],[Symbol]])</f>
        <v>6.2</v>
      </c>
      <c r="D33">
        <v>-2954.73</v>
      </c>
      <c r="E33" s="25">
        <f>IFERROR((stocks[[#This Row],[Current Price]]-stocks[[#This Row],[Avg Price]])*stocks[[#This Row],[Current Qty]],"")</f>
        <v>609.50000000000034</v>
      </c>
      <c r="F33">
        <v>5.14</v>
      </c>
      <c r="G33" s="14"/>
    </row>
    <row r="34" spans="1:17" x14ac:dyDescent="0.25">
      <c r="A34" s="52" t="s">
        <v>64</v>
      </c>
      <c r="B34">
        <v>75</v>
      </c>
      <c r="C34">
        <f>RTD("tos.rtd", , "LAST", stocks[[#This Row],[Symbol]])</f>
        <v>27.86</v>
      </c>
      <c r="D34">
        <v>-1486</v>
      </c>
      <c r="E34" s="25">
        <f>IFERROR((stocks[[#This Row],[Current Price]]-stocks[[#This Row],[Avg Price]])*stocks[[#This Row],[Current Qty]],"")</f>
        <v>603.75</v>
      </c>
      <c r="F34">
        <v>19.809999999999999</v>
      </c>
      <c r="G34" s="14"/>
    </row>
    <row r="35" spans="1:17" x14ac:dyDescent="0.25">
      <c r="A35" s="52" t="s">
        <v>65</v>
      </c>
      <c r="B35">
        <v>10</v>
      </c>
      <c r="C35">
        <f>RTD("tos.rtd", , "LAST", stocks[[#This Row],[Symbol]])</f>
        <v>48.87</v>
      </c>
      <c r="D35">
        <v>-460</v>
      </c>
      <c r="E35" s="25">
        <f>IFERROR((stocks[[#This Row],[Current Price]]-stocks[[#This Row],[Avg Price]])*stocks[[#This Row],[Current Qty]],"")</f>
        <v>28.699999999999974</v>
      </c>
      <c r="F35">
        <v>46</v>
      </c>
      <c r="G35" s="14"/>
    </row>
    <row r="36" spans="1:17" x14ac:dyDescent="0.25">
      <c r="A36" s="52" t="s">
        <v>66</v>
      </c>
      <c r="B36">
        <v>5</v>
      </c>
      <c r="C36">
        <f>RTD("tos.rtd", , "LAST", stocks[[#This Row],[Symbol]])</f>
        <v>107.86</v>
      </c>
      <c r="D36">
        <v>-460</v>
      </c>
      <c r="E36" s="25">
        <f>IFERROR((stocks[[#This Row],[Current Price]]-stocks[[#This Row],[Avg Price]])*stocks[[#This Row],[Current Qty]],"")</f>
        <v>79.3</v>
      </c>
      <c r="F36">
        <v>92</v>
      </c>
      <c r="G36" s="14"/>
    </row>
    <row r="37" spans="1:17" x14ac:dyDescent="0.25">
      <c r="A37" s="52" t="s">
        <v>67</v>
      </c>
      <c r="B37">
        <v>135</v>
      </c>
      <c r="C37">
        <f>RTD("tos.rtd", , "LAST", stocks[[#This Row],[Symbol]])</f>
        <v>2.7</v>
      </c>
      <c r="D37">
        <v>-468.45</v>
      </c>
      <c r="E37" s="25">
        <f>IFERROR((stocks[[#This Row],[Current Price]]-stocks[[#This Row],[Avg Price]])*stocks[[#This Row],[Current Qty]],"")</f>
        <v>-103.95</v>
      </c>
      <c r="F37">
        <v>3.47</v>
      </c>
      <c r="G37" s="14"/>
    </row>
    <row r="38" spans="1:17" x14ac:dyDescent="0.25">
      <c r="A38" s="52" t="s">
        <v>68</v>
      </c>
      <c r="B38">
        <v>30</v>
      </c>
      <c r="C38">
        <f>RTD("tos.rtd", , "LAST", stocks[[#This Row],[Symbol]])</f>
        <v>21.19</v>
      </c>
      <c r="D38">
        <v>-480</v>
      </c>
      <c r="E38" s="25">
        <f>IFERROR((stocks[[#This Row],[Current Price]]-stocks[[#This Row],[Avg Price]])*stocks[[#This Row],[Current Qty]],"")</f>
        <v>155.70000000000005</v>
      </c>
      <c r="F38">
        <v>16</v>
      </c>
      <c r="G38" s="14"/>
    </row>
    <row r="39" spans="1:17" x14ac:dyDescent="0.25">
      <c r="A39" s="52" t="s">
        <v>69</v>
      </c>
      <c r="B39">
        <v>65</v>
      </c>
      <c r="C39">
        <f>RTD("tos.rtd", , "LAST", stocks[[#This Row],[Symbol]])</f>
        <v>6.49</v>
      </c>
      <c r="D39">
        <v>-466.7</v>
      </c>
      <c r="E39" s="25">
        <f>IFERROR((stocks[[#This Row],[Current Price]]-stocks[[#This Row],[Avg Price]])*stocks[[#This Row],[Current Qty]],"")</f>
        <v>-44.849999999999966</v>
      </c>
      <c r="F39">
        <v>7.18</v>
      </c>
      <c r="G39" s="14"/>
    </row>
    <row r="40" spans="1:17" x14ac:dyDescent="0.25">
      <c r="A40" s="52" t="s">
        <v>111</v>
      </c>
      <c r="B40">
        <v>0</v>
      </c>
      <c r="C40">
        <f>RTD("tos.rtd", , "LAST", stocks[[#This Row],[Symbol]])</f>
        <v>411.21</v>
      </c>
      <c r="D40">
        <v>1002</v>
      </c>
      <c r="E40" s="25">
        <f>IFERROR((stocks[[#This Row],[Current Price]]-stocks[[#This Row],[Avg Price]])*stocks[[#This Row],[Current Qty]],"")</f>
        <v>0</v>
      </c>
      <c r="G40" s="14">
        <v>1002</v>
      </c>
    </row>
    <row r="41" spans="1:17" x14ac:dyDescent="0.25">
      <c r="A41" s="52" t="s">
        <v>70</v>
      </c>
      <c r="B41">
        <v>25</v>
      </c>
      <c r="C41">
        <f>RTD("tos.rtd", , "LAST", stocks[[#This Row],[Symbol]])</f>
        <v>38.72</v>
      </c>
      <c r="D41">
        <v>-885</v>
      </c>
      <c r="E41" s="25">
        <f>IFERROR((stocks[[#This Row],[Current Price]]-stocks[[#This Row],[Avg Price]])*stocks[[#This Row],[Current Qty]],"")</f>
        <v>83</v>
      </c>
      <c r="F41">
        <v>35.4</v>
      </c>
      <c r="G41" s="14"/>
    </row>
    <row r="42" spans="1:17" x14ac:dyDescent="0.25">
      <c r="A42" s="52" t="s">
        <v>71</v>
      </c>
      <c r="B42">
        <v>5</v>
      </c>
      <c r="C42">
        <f>RTD("tos.rtd", , "LAST", stocks[[#This Row],[Symbol]])</f>
        <v>119.85</v>
      </c>
      <c r="D42">
        <v>-391.7</v>
      </c>
      <c r="E42" s="25">
        <f>IFERROR((stocks[[#This Row],[Current Price]]-stocks[[#This Row],[Avg Price]])*stocks[[#This Row],[Current Qty]],"")</f>
        <v>207.54999999999995</v>
      </c>
      <c r="F42">
        <v>78.34</v>
      </c>
      <c r="G42" s="14"/>
    </row>
    <row r="43" spans="1:17" x14ac:dyDescent="0.25">
      <c r="A43" s="52" t="s">
        <v>72</v>
      </c>
      <c r="B43">
        <v>20</v>
      </c>
      <c r="C43">
        <f>RTD("tos.rtd", , "LAST", stocks[[#This Row],[Symbol]])</f>
        <v>59.43</v>
      </c>
      <c r="D43">
        <v>-840</v>
      </c>
      <c r="E43" s="25">
        <f>IFERROR((stocks[[#This Row],[Current Price]]-stocks[[#This Row],[Avg Price]])*stocks[[#This Row],[Current Qty]],"")</f>
        <v>348.6</v>
      </c>
      <c r="F43">
        <v>42</v>
      </c>
      <c r="G43" s="14"/>
    </row>
    <row r="44" spans="1:17" x14ac:dyDescent="0.25">
      <c r="A44" s="52" t="s">
        <v>73</v>
      </c>
      <c r="B44">
        <v>25</v>
      </c>
      <c r="C44">
        <f>RTD("tos.rtd", , "LAST", stocks[[#This Row],[Symbol]])</f>
        <v>44.11</v>
      </c>
      <c r="D44">
        <v>-866.15</v>
      </c>
      <c r="E44" s="25">
        <f>IFERROR((stocks[[#This Row],[Current Price]]-stocks[[#This Row],[Avg Price]])*stocks[[#This Row],[Current Qty]],"")</f>
        <v>236.50000000000003</v>
      </c>
      <c r="F44">
        <v>34.65</v>
      </c>
      <c r="G44" s="14"/>
      <c r="I44" s="43" t="s">
        <v>110</v>
      </c>
      <c r="J44" s="44"/>
      <c r="K44" s="44"/>
      <c r="L44" s="44"/>
      <c r="M44" s="44"/>
      <c r="N44" s="44"/>
      <c r="O44" s="44"/>
      <c r="P44" s="44"/>
      <c r="Q44" s="44"/>
    </row>
    <row r="45" spans="1:17" x14ac:dyDescent="0.25">
      <c r="A45" s="52" t="s">
        <v>74</v>
      </c>
      <c r="B45">
        <v>10</v>
      </c>
      <c r="C45">
        <f>RTD("tos.rtd", , "LAST", stocks[[#This Row],[Symbol]])</f>
        <v>103.32</v>
      </c>
      <c r="D45">
        <v>-1152.45</v>
      </c>
      <c r="E45" s="25">
        <f>IFERROR((stocks[[#This Row],[Current Price]]-stocks[[#This Row],[Avg Price]])*stocks[[#This Row],[Current Qty]],"")</f>
        <v>-119.20000000000002</v>
      </c>
      <c r="F45">
        <v>115.24</v>
      </c>
      <c r="G45" s="14"/>
      <c r="I45" s="44"/>
      <c r="J45" s="44"/>
      <c r="K45" s="44"/>
      <c r="L45" s="44"/>
      <c r="M45" s="44"/>
      <c r="N45" s="44"/>
      <c r="O45" s="44"/>
      <c r="P45" s="44"/>
      <c r="Q45" s="44"/>
    </row>
    <row r="46" spans="1:17" x14ac:dyDescent="0.25">
      <c r="A46" s="52" t="s">
        <v>75</v>
      </c>
      <c r="B46">
        <v>10</v>
      </c>
      <c r="C46">
        <f>RTD("tos.rtd", , "LAST", stocks[[#This Row],[Symbol]])</f>
        <v>81.849999999999994</v>
      </c>
      <c r="D46">
        <v>-577.4</v>
      </c>
      <c r="E46" s="25">
        <f>IFERROR((stocks[[#This Row],[Current Price]]-stocks[[#This Row],[Avg Price]])*stocks[[#This Row],[Current Qty]],"")</f>
        <v>241.09999999999991</v>
      </c>
      <c r="F46">
        <v>57.74</v>
      </c>
      <c r="G46" s="14"/>
    </row>
    <row r="47" spans="1:17" x14ac:dyDescent="0.25">
      <c r="A47" s="52" t="s">
        <v>76</v>
      </c>
      <c r="B47">
        <v>10</v>
      </c>
      <c r="C47">
        <f>RTD("tos.rtd", , "LAST", stocks[[#This Row],[Symbol]])</f>
        <v>130.46</v>
      </c>
      <c r="D47">
        <v>-1152.8</v>
      </c>
      <c r="E47" s="25">
        <f>IFERROR((stocks[[#This Row],[Current Price]]-stocks[[#This Row],[Avg Price]])*stocks[[#This Row],[Current Qty]],"")</f>
        <v>151.80000000000007</v>
      </c>
      <c r="F47">
        <v>115.28</v>
      </c>
      <c r="G47" s="14"/>
    </row>
    <row r="48" spans="1:17" x14ac:dyDescent="0.25">
      <c r="A48" s="52" t="s">
        <v>77</v>
      </c>
      <c r="B48">
        <v>10</v>
      </c>
      <c r="C48">
        <f>RTD("tos.rtd", , "LAST", stocks[[#This Row],[Symbol]])</f>
        <v>54.73</v>
      </c>
      <c r="D48">
        <v>-421.4</v>
      </c>
      <c r="E48" s="25">
        <f>IFERROR((stocks[[#This Row],[Current Price]]-stocks[[#This Row],[Avg Price]])*stocks[[#This Row],[Current Qty]],"")</f>
        <v>125.89999999999996</v>
      </c>
      <c r="F48">
        <v>42.14</v>
      </c>
      <c r="G48" s="14"/>
    </row>
    <row r="49" spans="1:7" x14ac:dyDescent="0.25">
      <c r="A49" s="52" t="s">
        <v>78</v>
      </c>
      <c r="B49">
        <v>140</v>
      </c>
      <c r="C49">
        <f>RTD("tos.rtd", , "LAST", stocks[[#This Row],[Symbol]])</f>
        <v>8.9600000000000009</v>
      </c>
      <c r="D49">
        <v>-1462.88</v>
      </c>
      <c r="E49" s="25">
        <f>IFERROR((stocks[[#This Row],[Current Price]]-stocks[[#This Row],[Avg Price]])*stocks[[#This Row],[Current Qty]],"")</f>
        <v>-208.5999999999998</v>
      </c>
      <c r="F49">
        <v>10.45</v>
      </c>
      <c r="G49" s="14"/>
    </row>
    <row r="50" spans="1:7" x14ac:dyDescent="0.25">
      <c r="A50" s="52" t="s">
        <v>79</v>
      </c>
      <c r="B50">
        <v>75</v>
      </c>
      <c r="C50">
        <f>RTD("tos.rtd", , "LAST", stocks[[#This Row],[Symbol]])</f>
        <v>19.73</v>
      </c>
      <c r="D50">
        <v>-1425</v>
      </c>
      <c r="E50" s="25">
        <f>IFERROR((stocks[[#This Row],[Current Price]]-stocks[[#This Row],[Avg Price]])*stocks[[#This Row],[Current Qty]],"")</f>
        <v>54.750000000000028</v>
      </c>
      <c r="F50">
        <v>19</v>
      </c>
      <c r="G50" s="14"/>
    </row>
    <row r="51" spans="1:7" x14ac:dyDescent="0.25">
      <c r="A51" s="52" t="s">
        <v>80</v>
      </c>
      <c r="B51">
        <v>20</v>
      </c>
      <c r="C51">
        <f>RTD("tos.rtd", , "LAST", stocks[[#This Row],[Symbol]])</f>
        <v>24.1</v>
      </c>
      <c r="D51">
        <v>-450.4</v>
      </c>
      <c r="E51" s="25">
        <f>IFERROR((stocks[[#This Row],[Current Price]]-stocks[[#This Row],[Avg Price]])*stocks[[#This Row],[Current Qty]],"")</f>
        <v>31.600000000000037</v>
      </c>
      <c r="F51">
        <v>22.52</v>
      </c>
      <c r="G51" s="14"/>
    </row>
    <row r="52" spans="1:7" x14ac:dyDescent="0.25">
      <c r="A52" s="52" t="s">
        <v>81</v>
      </c>
      <c r="B52">
        <v>30</v>
      </c>
      <c r="C52">
        <f>RTD("tos.rtd", , "LAST", stocks[[#This Row],[Symbol]])</f>
        <v>13</v>
      </c>
      <c r="D52">
        <v>-354</v>
      </c>
      <c r="E52" s="25">
        <f>IFERROR((stocks[[#This Row],[Current Price]]-stocks[[#This Row],[Avg Price]])*stocks[[#This Row],[Current Qty]],"")</f>
        <v>35.999999999999979</v>
      </c>
      <c r="F52">
        <v>11.8</v>
      </c>
      <c r="G52" s="14"/>
    </row>
    <row r="53" spans="1:7" x14ac:dyDescent="0.25">
      <c r="A53" s="52" t="s">
        <v>82</v>
      </c>
      <c r="B53">
        <v>30</v>
      </c>
      <c r="C53">
        <f>RTD("tos.rtd", , "LAST", stocks[[#This Row],[Symbol]])</f>
        <v>6.28</v>
      </c>
      <c r="D53">
        <v>-510</v>
      </c>
      <c r="E53" s="25">
        <f>IFERROR((stocks[[#This Row],[Current Price]]-stocks[[#This Row],[Avg Price]])*stocks[[#This Row],[Current Qty]],"")</f>
        <v>-321.59999999999997</v>
      </c>
      <c r="F53">
        <v>17</v>
      </c>
      <c r="G53" s="14"/>
    </row>
    <row r="54" spans="1:7" x14ac:dyDescent="0.25">
      <c r="A54" s="52" t="s">
        <v>83</v>
      </c>
      <c r="B54">
        <v>10</v>
      </c>
      <c r="C54">
        <f>RTD("tos.rtd", , "LAST", stocks[[#This Row],[Symbol]])</f>
        <v>79.3</v>
      </c>
      <c r="D54">
        <v>-355</v>
      </c>
      <c r="E54" s="25">
        <f>IFERROR((stocks[[#This Row],[Current Price]]-stocks[[#This Row],[Avg Price]])*stocks[[#This Row],[Current Qty]],"")</f>
        <v>438</v>
      </c>
      <c r="F54">
        <v>35.5</v>
      </c>
      <c r="G54" s="14"/>
    </row>
    <row r="55" spans="1:7" x14ac:dyDescent="0.25">
      <c r="A55" s="52" t="s">
        <v>84</v>
      </c>
      <c r="B55">
        <v>10</v>
      </c>
      <c r="C55">
        <f>RTD("tos.rtd", , "LAST", stocks[[#This Row],[Symbol]])</f>
        <v>64.97</v>
      </c>
      <c r="D55">
        <v>-399.9</v>
      </c>
      <c r="E55" s="25">
        <f>IFERROR((stocks[[#This Row],[Current Price]]-stocks[[#This Row],[Avg Price]])*stocks[[#This Row],[Current Qty]],"")</f>
        <v>249.79999999999995</v>
      </c>
      <c r="F55">
        <v>39.99</v>
      </c>
      <c r="G55" s="14"/>
    </row>
    <row r="56" spans="1:7" x14ac:dyDescent="0.25">
      <c r="A56" s="52" t="s">
        <v>85</v>
      </c>
      <c r="B56">
        <v>20</v>
      </c>
      <c r="C56">
        <f>RTD("tos.rtd", , "LAST", stocks[[#This Row],[Symbol]])</f>
        <v>53.46</v>
      </c>
      <c r="D56">
        <v>-769.3</v>
      </c>
      <c r="E56" s="25">
        <f>IFERROR((stocks[[#This Row],[Current Price]]-stocks[[#This Row],[Avg Price]])*stocks[[#This Row],[Current Qty]],"")</f>
        <v>300</v>
      </c>
      <c r="F56">
        <v>38.46</v>
      </c>
      <c r="G56" s="14"/>
    </row>
    <row r="57" spans="1:7" x14ac:dyDescent="0.25">
      <c r="A57" s="52" t="s">
        <v>86</v>
      </c>
      <c r="B57">
        <v>175</v>
      </c>
      <c r="C57">
        <f>RTD("tos.rtd", , "LAST", stocks[[#This Row],[Symbol]])</f>
        <v>18.809999999999999</v>
      </c>
      <c r="D57">
        <v>-3037.2</v>
      </c>
      <c r="E57" s="25">
        <f>IFERROR((stocks[[#This Row],[Current Price]]-stocks[[#This Row],[Avg Price]])*stocks[[#This Row],[Current Qty]],"")</f>
        <v>253.74999999999989</v>
      </c>
      <c r="F57">
        <v>17.36</v>
      </c>
      <c r="G57" s="14"/>
    </row>
    <row r="58" spans="1:7" x14ac:dyDescent="0.25">
      <c r="A58" s="52" t="s">
        <v>87</v>
      </c>
      <c r="B58">
        <v>5</v>
      </c>
      <c r="C58">
        <f>RTD("tos.rtd", , "LAST", stocks[[#This Row],[Symbol]])</f>
        <v>111.3</v>
      </c>
      <c r="D58">
        <v>-475.15</v>
      </c>
      <c r="E58" s="25">
        <f>IFERROR((stocks[[#This Row],[Current Price]]-stocks[[#This Row],[Avg Price]])*stocks[[#This Row],[Current Qty]],"")</f>
        <v>81.34999999999998</v>
      </c>
      <c r="F58">
        <v>95.03</v>
      </c>
      <c r="G58" s="14"/>
    </row>
    <row r="59" spans="1:7" x14ac:dyDescent="0.25">
      <c r="A59" s="52" t="s">
        <v>88</v>
      </c>
      <c r="B59">
        <v>15</v>
      </c>
      <c r="C59">
        <f>RTD("tos.rtd", , "LAST", stocks[[#This Row],[Symbol]])</f>
        <v>63.57</v>
      </c>
      <c r="D59">
        <v>-978.1</v>
      </c>
      <c r="E59" s="25">
        <f>IFERROR((stocks[[#This Row],[Current Price]]-stocks[[#This Row],[Avg Price]])*stocks[[#This Row],[Current Qty]],"")</f>
        <v>-24.599999999999902</v>
      </c>
      <c r="F59">
        <v>65.209999999999994</v>
      </c>
      <c r="G59" s="14"/>
    </row>
    <row r="60" spans="1:7" x14ac:dyDescent="0.25">
      <c r="A60" s="52" t="s">
        <v>89</v>
      </c>
      <c r="B60">
        <v>70</v>
      </c>
      <c r="C60">
        <f>RTD("tos.rtd", , "LAST", stocks[[#This Row],[Symbol]])</f>
        <v>5.78</v>
      </c>
      <c r="D60">
        <v>-479.5</v>
      </c>
      <c r="E60" s="25">
        <f>IFERROR((stocks[[#This Row],[Current Price]]-stocks[[#This Row],[Avg Price]])*stocks[[#This Row],[Current Qty]],"")</f>
        <v>-74.899999999999963</v>
      </c>
      <c r="F60">
        <v>6.85</v>
      </c>
      <c r="G60" s="14"/>
    </row>
    <row r="61" spans="1:7" x14ac:dyDescent="0.25">
      <c r="A61" s="52" t="s">
        <v>90</v>
      </c>
      <c r="B61">
        <v>5</v>
      </c>
      <c r="C61">
        <f>RTD("tos.rtd", , "LAST", stocks[[#This Row],[Symbol]])</f>
        <v>74.42</v>
      </c>
      <c r="D61">
        <v>-290</v>
      </c>
      <c r="E61" s="25">
        <f>IFERROR((stocks[[#This Row],[Current Price]]-stocks[[#This Row],[Avg Price]])*stocks[[#This Row],[Current Qty]],"")</f>
        <v>82.100000000000009</v>
      </c>
      <c r="F61">
        <v>58</v>
      </c>
      <c r="G61" s="14"/>
    </row>
    <row r="62" spans="1:7" x14ac:dyDescent="0.25">
      <c r="A62" s="52" t="s">
        <v>91</v>
      </c>
      <c r="B62">
        <v>5</v>
      </c>
      <c r="C62">
        <f>RTD("tos.rtd", , "LAST", stocks[[#This Row],[Symbol]])</f>
        <v>69</v>
      </c>
      <c r="D62">
        <v>-295</v>
      </c>
      <c r="E62" s="25">
        <f>IFERROR((stocks[[#This Row],[Current Price]]-stocks[[#This Row],[Avg Price]])*stocks[[#This Row],[Current Qty]],"")</f>
        <v>50</v>
      </c>
      <c r="F62">
        <v>59</v>
      </c>
      <c r="G62" s="14"/>
    </row>
    <row r="63" spans="1:7" x14ac:dyDescent="0.25">
      <c r="A63" s="52" t="s">
        <v>92</v>
      </c>
      <c r="B63">
        <v>30</v>
      </c>
      <c r="C63">
        <f>RTD("tos.rtd", , "LAST", stocks[[#This Row],[Symbol]])</f>
        <v>28.05</v>
      </c>
      <c r="D63">
        <v>-986.55</v>
      </c>
      <c r="E63" s="25">
        <f>IFERROR((stocks[[#This Row],[Current Price]]-stocks[[#This Row],[Avg Price]])*stocks[[#This Row],[Current Qty]],"")</f>
        <v>-144.90000000000006</v>
      </c>
      <c r="F63">
        <v>32.880000000000003</v>
      </c>
      <c r="G63" s="14"/>
    </row>
    <row r="64" spans="1:7" x14ac:dyDescent="0.25">
      <c r="A64" s="52" t="s">
        <v>93</v>
      </c>
      <c r="B64">
        <v>95</v>
      </c>
      <c r="C64">
        <f>RTD("tos.rtd", , "LAST", stocks[[#This Row],[Symbol]])</f>
        <v>17.170000000000002</v>
      </c>
      <c r="D64">
        <v>-1402.7</v>
      </c>
      <c r="E64" s="25">
        <f>IFERROR((stocks[[#This Row],[Current Price]]-stocks[[#This Row],[Avg Price]])*stocks[[#This Row],[Current Qty]],"")</f>
        <v>228.0000000000002</v>
      </c>
      <c r="F64">
        <v>14.77</v>
      </c>
      <c r="G64" s="14"/>
    </row>
    <row r="65" spans="1:7" x14ac:dyDescent="0.25">
      <c r="A65" s="52" t="s">
        <v>94</v>
      </c>
      <c r="B65">
        <v>535</v>
      </c>
      <c r="C65">
        <f>RTD("tos.rtd", , "LAST", stocks[[#This Row],[Symbol]])</f>
        <v>2.56</v>
      </c>
      <c r="D65">
        <v>-1489.72</v>
      </c>
      <c r="E65" s="25">
        <f>IFERROR((stocks[[#This Row],[Current Price]]-stocks[[#This Row],[Avg Price]])*stocks[[#This Row],[Current Qty]],"")</f>
        <v>-117.69999999999986</v>
      </c>
      <c r="F65">
        <v>2.78</v>
      </c>
      <c r="G65" s="14"/>
    </row>
    <row r="66" spans="1:7" x14ac:dyDescent="0.25">
      <c r="A66" s="52" t="s">
        <v>95</v>
      </c>
      <c r="B66">
        <v>130</v>
      </c>
      <c r="C66">
        <f>RTD("tos.rtd", , "LAST", stocks[[#This Row],[Symbol]])</f>
        <v>5.15</v>
      </c>
      <c r="D66">
        <v>-1399.25</v>
      </c>
      <c r="E66" s="25">
        <f>IFERROR((stocks[[#This Row],[Current Price]]-stocks[[#This Row],[Avg Price]])*stocks[[#This Row],[Current Qty]],"")</f>
        <v>-729.3</v>
      </c>
      <c r="F66">
        <v>10.76</v>
      </c>
      <c r="G66" s="14"/>
    </row>
    <row r="67" spans="1:7" x14ac:dyDescent="0.25">
      <c r="A67" s="52" t="s">
        <v>96</v>
      </c>
      <c r="B67">
        <v>100</v>
      </c>
      <c r="C67">
        <f>RTD("tos.rtd", , "LAST", stocks[[#This Row],[Symbol]])</f>
        <v>6.87</v>
      </c>
      <c r="D67">
        <v>-400</v>
      </c>
      <c r="E67" s="25">
        <f>IFERROR((stocks[[#This Row],[Current Price]]-stocks[[#This Row],[Avg Price]])*stocks[[#This Row],[Current Qty]],"")</f>
        <v>287</v>
      </c>
      <c r="F67">
        <v>4</v>
      </c>
      <c r="G67" s="14"/>
    </row>
    <row r="68" spans="1:7" x14ac:dyDescent="0.25">
      <c r="A68" s="52" t="s">
        <v>97</v>
      </c>
      <c r="B68">
        <v>20</v>
      </c>
      <c r="C68">
        <f>RTD("tos.rtd", , "LAST", stocks[[#This Row],[Symbol]])</f>
        <v>3.83</v>
      </c>
      <c r="D68">
        <v>-142.5</v>
      </c>
      <c r="E68" s="25">
        <f>IFERROR((stocks[[#This Row],[Current Price]]-stocks[[#This Row],[Avg Price]])*stocks[[#This Row],[Current Qty]],"")</f>
        <v>-49.399999999999991</v>
      </c>
      <c r="F68">
        <v>6.3</v>
      </c>
      <c r="G68" s="14">
        <v>-142.5</v>
      </c>
    </row>
    <row r="69" spans="1:7" x14ac:dyDescent="0.25">
      <c r="A69" s="52" t="s">
        <v>98</v>
      </c>
      <c r="B69">
        <v>20</v>
      </c>
      <c r="C69">
        <f>RTD("tos.rtd", , "LAST", stocks[[#This Row],[Symbol]])</f>
        <v>50.74</v>
      </c>
      <c r="D69">
        <v>-872.1</v>
      </c>
      <c r="E69" s="25">
        <f>IFERROR((stocks[[#This Row],[Current Price]]-stocks[[#This Row],[Avg Price]])*stocks[[#This Row],[Current Qty]],"")</f>
        <v>142.80000000000001</v>
      </c>
      <c r="F69">
        <v>43.6</v>
      </c>
      <c r="G69" s="14"/>
    </row>
    <row r="70" spans="1:7" x14ac:dyDescent="0.25">
      <c r="A70" s="52" t="s">
        <v>99</v>
      </c>
      <c r="B70">
        <v>15</v>
      </c>
      <c r="C70">
        <f>RTD("tos.rtd", , "LAST", stocks[[#This Row],[Symbol]])</f>
        <v>88.73</v>
      </c>
      <c r="D70">
        <v>-1190.5999999999999</v>
      </c>
      <c r="E70" s="53">
        <f>IFERROR((stocks[[#This Row],[Current Price]]-stocks[[#This Row],[Avg Price]])*stocks[[#This Row],[Current Qty]],"")</f>
        <v>140.39999999999998</v>
      </c>
      <c r="F70">
        <v>79.37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E5:E70">
    <cfRule type="colorScale" priority="18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G70">
    <cfRule type="colorScale" priority="20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5"/>
  <sheetViews>
    <sheetView zoomScale="120" zoomScaleNormal="120" workbookViewId="0">
      <pane ySplit="4" topLeftCell="A5" activePane="bottomLeft" state="frozen"/>
      <selection pane="bottomLeft" activeCell="K20" sqref="K20"/>
    </sheetView>
  </sheetViews>
  <sheetFormatPr defaultRowHeight="15" x14ac:dyDescent="0.25"/>
  <cols>
    <col min="1" max="1" width="22.855468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4.425781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47" t="s">
        <v>28</v>
      </c>
      <c r="E1" s="45">
        <f>GETPIVOTDATA("[Measures].[Sum of Capital or Gain]",$I$4)</f>
        <v>-53911.296000000009</v>
      </c>
      <c r="G1" s="27"/>
    </row>
    <row r="2" spans="1:115" ht="15.75" thickBot="1" x14ac:dyDescent="0.3">
      <c r="A2" s="16" t="s">
        <v>22</v>
      </c>
      <c r="B2" s="15">
        <f>COUNTA(trades[Exec Time])</f>
        <v>135</v>
      </c>
      <c r="D2" s="48"/>
      <c r="E2" s="46"/>
    </row>
    <row r="4" spans="1:115" s="7" customFormat="1" x14ac:dyDescent="0.25">
      <c r="A4" s="5" t="s">
        <v>6</v>
      </c>
      <c r="B4" s="6" t="s">
        <v>16</v>
      </c>
      <c r="C4" s="12" t="s">
        <v>34</v>
      </c>
      <c r="D4" s="12" t="s">
        <v>25</v>
      </c>
      <c r="E4" s="12" t="s">
        <v>107</v>
      </c>
      <c r="F4" s="12" t="s">
        <v>33</v>
      </c>
      <c r="G4" s="6" t="s">
        <v>26</v>
      </c>
      <c r="I4" s="13" t="s">
        <v>6</v>
      </c>
      <c r="J4" t="s">
        <v>22</v>
      </c>
      <c r="K4" t="s">
        <v>21</v>
      </c>
      <c r="L4" t="s">
        <v>106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35</v>
      </c>
      <c r="B5" s="26">
        <v>830</v>
      </c>
      <c r="C5" s="25">
        <v>2.4900000000000002</v>
      </c>
      <c r="D5" s="25">
        <v>2.398963855421687</v>
      </c>
      <c r="E5" s="25">
        <v>-1991.14</v>
      </c>
      <c r="F5" s="25">
        <v>415.85999999999973</v>
      </c>
      <c r="G5" s="25">
        <v>0</v>
      </c>
      <c r="I5" s="11" t="s">
        <v>100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36</v>
      </c>
      <c r="B6" s="26">
        <v>5</v>
      </c>
      <c r="C6" s="25">
        <v>80</v>
      </c>
      <c r="D6" s="25">
        <v>80</v>
      </c>
      <c r="E6" s="25">
        <v>-400</v>
      </c>
      <c r="F6" s="25">
        <v>21.850000000000023</v>
      </c>
      <c r="G6" s="25">
        <v>0</v>
      </c>
      <c r="I6" s="11" t="s">
        <v>23</v>
      </c>
      <c r="J6" s="20">
        <v>123</v>
      </c>
      <c r="K6" s="20">
        <v>62</v>
      </c>
      <c r="L6" s="14">
        <v>-50495.512000000002</v>
      </c>
    </row>
    <row r="7" spans="1:115" x14ac:dyDescent="0.25">
      <c r="A7" s="3" t="s">
        <v>37</v>
      </c>
      <c r="B7" s="26">
        <v>5</v>
      </c>
      <c r="C7" s="25">
        <v>249.13</v>
      </c>
      <c r="D7" s="25">
        <v>249.13000000000002</v>
      </c>
      <c r="E7" s="25">
        <v>-1245.6500000000001</v>
      </c>
      <c r="F7" s="25">
        <v>-39.60000000000008</v>
      </c>
      <c r="G7" s="25">
        <v>0</v>
      </c>
      <c r="I7" s="11" t="s">
        <v>24</v>
      </c>
      <c r="J7" s="20">
        <v>135</v>
      </c>
      <c r="K7" s="20">
        <v>66</v>
      </c>
      <c r="L7" s="14">
        <v>-53911.296000000009</v>
      </c>
    </row>
    <row r="8" spans="1:115" x14ac:dyDescent="0.25">
      <c r="A8" s="3" t="s">
        <v>38</v>
      </c>
      <c r="B8" s="26">
        <v>50</v>
      </c>
      <c r="C8" s="25">
        <v>10.42</v>
      </c>
      <c r="D8" s="25">
        <v>10.42</v>
      </c>
      <c r="E8" s="25">
        <v>-521</v>
      </c>
      <c r="F8" s="25">
        <v>680</v>
      </c>
      <c r="G8" s="25">
        <v>0</v>
      </c>
    </row>
    <row r="9" spans="1:115" x14ac:dyDescent="0.25">
      <c r="A9" s="3" t="s">
        <v>39</v>
      </c>
      <c r="B9" s="26">
        <v>375</v>
      </c>
      <c r="C9" s="25">
        <v>1.33</v>
      </c>
      <c r="D9" s="25">
        <v>1.33</v>
      </c>
      <c r="E9" s="25">
        <v>-498.75</v>
      </c>
      <c r="F9" s="25">
        <v>-125.60625000000003</v>
      </c>
      <c r="G9" s="25">
        <v>0</v>
      </c>
      <c r="L9" t="s">
        <v>102</v>
      </c>
    </row>
    <row r="10" spans="1:115" x14ac:dyDescent="0.25">
      <c r="A10" s="3" t="s">
        <v>40</v>
      </c>
      <c r="B10" s="26">
        <v>10</v>
      </c>
      <c r="C10" s="25">
        <v>38.950000000000003</v>
      </c>
      <c r="D10" s="25">
        <v>38.950000000000003</v>
      </c>
      <c r="E10" s="25">
        <v>-389.5</v>
      </c>
      <c r="F10" s="25">
        <v>201.1</v>
      </c>
      <c r="G10" s="25">
        <v>0</v>
      </c>
    </row>
    <row r="11" spans="1:115" x14ac:dyDescent="0.25">
      <c r="A11" s="3" t="s">
        <v>41</v>
      </c>
      <c r="B11" s="26">
        <v>20</v>
      </c>
      <c r="C11" s="25">
        <v>70</v>
      </c>
      <c r="D11" s="25">
        <v>61.995000000000005</v>
      </c>
      <c r="E11" s="25">
        <v>-1239.9000000000001</v>
      </c>
      <c r="F11" s="25">
        <v>157.89999999999992</v>
      </c>
      <c r="G11" s="25">
        <v>0</v>
      </c>
    </row>
    <row r="12" spans="1:115" x14ac:dyDescent="0.25">
      <c r="A12" s="3" t="s">
        <v>42</v>
      </c>
      <c r="B12" s="26">
        <v>5</v>
      </c>
      <c r="C12" s="25">
        <v>70.62</v>
      </c>
      <c r="D12" s="25">
        <v>70.62</v>
      </c>
      <c r="E12" s="25">
        <v>-353.1</v>
      </c>
      <c r="F12" s="25">
        <v>568.5</v>
      </c>
      <c r="G12" s="25">
        <v>0</v>
      </c>
    </row>
    <row r="13" spans="1:115" x14ac:dyDescent="0.25">
      <c r="A13" s="3" t="s">
        <v>43</v>
      </c>
      <c r="B13" s="26">
        <v>75</v>
      </c>
      <c r="C13" s="25">
        <v>20.23</v>
      </c>
      <c r="D13" s="25">
        <v>16.690000000000001</v>
      </c>
      <c r="E13" s="25">
        <v>-1251.75</v>
      </c>
      <c r="F13" s="25">
        <v>1390.4999999999998</v>
      </c>
      <c r="G13" s="25">
        <v>0</v>
      </c>
    </row>
    <row r="14" spans="1:115" x14ac:dyDescent="0.25">
      <c r="A14" s="3" t="s">
        <v>44</v>
      </c>
      <c r="B14" s="26">
        <v>5</v>
      </c>
      <c r="C14" s="25">
        <v>69.83</v>
      </c>
      <c r="D14" s="25">
        <v>69.83</v>
      </c>
      <c r="E14" s="25">
        <v>-349.15</v>
      </c>
      <c r="F14" s="25">
        <v>65.850000000000009</v>
      </c>
      <c r="G14" s="25">
        <v>0</v>
      </c>
    </row>
    <row r="15" spans="1:115" x14ac:dyDescent="0.25">
      <c r="A15" s="3" t="s">
        <v>45</v>
      </c>
      <c r="B15" s="26">
        <v>0</v>
      </c>
      <c r="C15" s="25">
        <v>17.9404</v>
      </c>
      <c r="D15" s="25">
        <v>0</v>
      </c>
      <c r="E15" s="25">
        <v>217.61599999999999</v>
      </c>
      <c r="F15" s="25">
        <v>0</v>
      </c>
      <c r="G15" s="25">
        <v>717.61599999999999</v>
      </c>
    </row>
    <row r="16" spans="1:115" x14ac:dyDescent="0.25">
      <c r="A16" s="3" t="s">
        <v>46</v>
      </c>
      <c r="B16" s="26">
        <v>25</v>
      </c>
      <c r="C16" s="25">
        <v>19</v>
      </c>
      <c r="D16" s="25">
        <v>19</v>
      </c>
      <c r="E16" s="25">
        <v>-475</v>
      </c>
      <c r="F16" s="25">
        <v>-199.00000000000003</v>
      </c>
      <c r="G16" s="25">
        <v>0</v>
      </c>
    </row>
    <row r="17" spans="1:7" x14ac:dyDescent="0.25">
      <c r="A17" s="3" t="s">
        <v>47</v>
      </c>
      <c r="B17" s="26">
        <v>10</v>
      </c>
      <c r="C17" s="25">
        <v>107.5</v>
      </c>
      <c r="D17" s="25">
        <v>98.75</v>
      </c>
      <c r="E17" s="25">
        <v>-987.5</v>
      </c>
      <c r="F17" s="25">
        <v>-13.299999999999983</v>
      </c>
      <c r="G17" s="25">
        <v>0</v>
      </c>
    </row>
    <row r="18" spans="1:7" x14ac:dyDescent="0.25">
      <c r="A18" s="3" t="s">
        <v>48</v>
      </c>
      <c r="B18" s="26">
        <v>15</v>
      </c>
      <c r="C18" s="25">
        <v>33.33</v>
      </c>
      <c r="D18" s="25">
        <v>33.33</v>
      </c>
      <c r="E18" s="25">
        <v>-499.95</v>
      </c>
      <c r="F18" s="25">
        <v>-89.249999999999986</v>
      </c>
      <c r="G18" s="25">
        <v>0</v>
      </c>
    </row>
    <row r="19" spans="1:7" x14ac:dyDescent="0.25">
      <c r="A19" s="3" t="s">
        <v>49</v>
      </c>
      <c r="B19" s="26">
        <v>5</v>
      </c>
      <c r="C19" s="25">
        <v>74</v>
      </c>
      <c r="D19" s="25">
        <v>74</v>
      </c>
      <c r="E19" s="25">
        <v>-370</v>
      </c>
      <c r="F19" s="25">
        <v>83.800000000000026</v>
      </c>
      <c r="G19" s="25">
        <v>0</v>
      </c>
    </row>
    <row r="20" spans="1:7" x14ac:dyDescent="0.25">
      <c r="A20" s="3" t="s">
        <v>50</v>
      </c>
      <c r="B20" s="26">
        <v>5</v>
      </c>
      <c r="C20" s="25">
        <v>89.69</v>
      </c>
      <c r="D20" s="25">
        <v>89.69</v>
      </c>
      <c r="E20" s="25">
        <v>-448.45</v>
      </c>
      <c r="F20" s="25">
        <v>76.099999999999994</v>
      </c>
      <c r="G20" s="25">
        <v>0</v>
      </c>
    </row>
    <row r="21" spans="1:7" x14ac:dyDescent="0.25">
      <c r="A21" s="3" t="s">
        <v>51</v>
      </c>
      <c r="B21" s="26">
        <v>5</v>
      </c>
      <c r="C21" s="25">
        <v>100</v>
      </c>
      <c r="D21" s="25">
        <v>100</v>
      </c>
      <c r="E21" s="25">
        <v>-500</v>
      </c>
      <c r="F21" s="25">
        <v>122.89999999999999</v>
      </c>
      <c r="G21" s="25">
        <v>0</v>
      </c>
    </row>
    <row r="22" spans="1:7" x14ac:dyDescent="0.25">
      <c r="A22" s="3" t="s">
        <v>52</v>
      </c>
      <c r="B22" s="26">
        <v>25</v>
      </c>
      <c r="C22" s="25">
        <v>80.97</v>
      </c>
      <c r="D22" s="25">
        <v>75.804000000000002</v>
      </c>
      <c r="E22" s="25">
        <v>-1895.1</v>
      </c>
      <c r="F22" s="25">
        <v>-32.600000000000051</v>
      </c>
      <c r="G22" s="25">
        <v>0</v>
      </c>
    </row>
    <row r="23" spans="1:7" x14ac:dyDescent="0.25">
      <c r="A23" s="3" t="s">
        <v>53</v>
      </c>
      <c r="B23" s="26">
        <v>45</v>
      </c>
      <c r="C23" s="25">
        <v>10.84</v>
      </c>
      <c r="D23" s="25">
        <v>10.84</v>
      </c>
      <c r="E23" s="25">
        <v>-487.8</v>
      </c>
      <c r="F23" s="25">
        <v>409.95</v>
      </c>
      <c r="G23" s="25">
        <v>0</v>
      </c>
    </row>
    <row r="24" spans="1:7" x14ac:dyDescent="0.25">
      <c r="A24" s="3" t="s">
        <v>54</v>
      </c>
      <c r="B24" s="26">
        <v>50</v>
      </c>
      <c r="C24" s="25">
        <v>10.050000000000001</v>
      </c>
      <c r="D24" s="25">
        <v>10.050000000000001</v>
      </c>
      <c r="E24" s="25">
        <v>-502.50000000000006</v>
      </c>
      <c r="F24" s="25">
        <v>-74.000000000000028</v>
      </c>
      <c r="G24" s="25">
        <v>0</v>
      </c>
    </row>
    <row r="25" spans="1:7" x14ac:dyDescent="0.25">
      <c r="A25" s="3" t="s">
        <v>55</v>
      </c>
      <c r="B25" s="26">
        <v>10</v>
      </c>
      <c r="C25" s="25">
        <v>91.76</v>
      </c>
      <c r="D25" s="25">
        <v>88.13</v>
      </c>
      <c r="E25" s="25">
        <v>-881.3</v>
      </c>
      <c r="F25" s="25">
        <v>-141.1</v>
      </c>
      <c r="G25" s="25">
        <v>0</v>
      </c>
    </row>
    <row r="26" spans="1:7" x14ac:dyDescent="0.25">
      <c r="A26" s="3" t="s">
        <v>56</v>
      </c>
      <c r="B26" s="26">
        <v>10</v>
      </c>
      <c r="C26" s="25">
        <v>44.5</v>
      </c>
      <c r="D26" s="25">
        <v>44.5</v>
      </c>
      <c r="E26" s="25">
        <v>-445</v>
      </c>
      <c r="F26" s="25">
        <v>82.999999999999972</v>
      </c>
      <c r="G26" s="25">
        <v>0</v>
      </c>
    </row>
    <row r="27" spans="1:7" x14ac:dyDescent="0.25">
      <c r="A27" s="3" t="s">
        <v>57</v>
      </c>
      <c r="B27" s="26">
        <v>60</v>
      </c>
      <c r="C27" s="25">
        <v>8.36</v>
      </c>
      <c r="D27" s="25">
        <v>8.3600000000000012</v>
      </c>
      <c r="E27" s="25">
        <v>-501.6</v>
      </c>
      <c r="F27" s="25">
        <v>-200.40000000000009</v>
      </c>
      <c r="G27" s="25">
        <v>0</v>
      </c>
    </row>
    <row r="28" spans="1:7" x14ac:dyDescent="0.25">
      <c r="A28" s="3" t="s">
        <v>58</v>
      </c>
      <c r="B28" s="26">
        <v>10</v>
      </c>
      <c r="C28" s="25">
        <v>41.15</v>
      </c>
      <c r="D28" s="25">
        <v>41.15</v>
      </c>
      <c r="E28" s="25">
        <v>-411.5</v>
      </c>
      <c r="F28" s="25">
        <v>-21.799999999999997</v>
      </c>
      <c r="G28" s="25">
        <v>0</v>
      </c>
    </row>
    <row r="29" spans="1:7" x14ac:dyDescent="0.25">
      <c r="A29" s="3" t="s">
        <v>59</v>
      </c>
      <c r="B29" s="26">
        <v>20</v>
      </c>
      <c r="C29" s="25">
        <v>96.75</v>
      </c>
      <c r="D29" s="25">
        <v>94.537499999999994</v>
      </c>
      <c r="E29" s="25">
        <v>-1890.75</v>
      </c>
      <c r="F29" s="25">
        <v>-297.74999999999977</v>
      </c>
      <c r="G29" s="25">
        <v>0</v>
      </c>
    </row>
    <row r="30" spans="1:7" x14ac:dyDescent="0.25">
      <c r="A30" s="3" t="s">
        <v>60</v>
      </c>
      <c r="B30" s="26">
        <v>90</v>
      </c>
      <c r="C30" s="25">
        <v>29.04</v>
      </c>
      <c r="D30" s="25">
        <v>26.40444444444444</v>
      </c>
      <c r="E30" s="25">
        <v>-2376.3999999999996</v>
      </c>
      <c r="F30" s="25">
        <v>323.60000000000036</v>
      </c>
      <c r="G30" s="25">
        <v>0</v>
      </c>
    </row>
    <row r="31" spans="1:7" x14ac:dyDescent="0.25">
      <c r="A31" s="3" t="s">
        <v>61</v>
      </c>
      <c r="B31" s="26">
        <v>45</v>
      </c>
      <c r="C31" s="25">
        <v>25.79</v>
      </c>
      <c r="D31" s="25">
        <v>22.228888888888889</v>
      </c>
      <c r="E31" s="25">
        <v>-1000.3</v>
      </c>
      <c r="F31" s="25">
        <v>486.05000000000007</v>
      </c>
      <c r="G31" s="25">
        <v>0</v>
      </c>
    </row>
    <row r="32" spans="1:7" x14ac:dyDescent="0.25">
      <c r="A32" s="3" t="s">
        <v>62</v>
      </c>
      <c r="B32" s="26">
        <v>45</v>
      </c>
      <c r="C32" s="25">
        <v>23.26</v>
      </c>
      <c r="D32" s="25">
        <v>22.004444444444445</v>
      </c>
      <c r="E32" s="25">
        <v>-990.2</v>
      </c>
      <c r="F32" s="25">
        <v>692.35</v>
      </c>
      <c r="G32" s="25">
        <v>0</v>
      </c>
    </row>
    <row r="33" spans="1:7" x14ac:dyDescent="0.25">
      <c r="A33" s="3" t="s">
        <v>63</v>
      </c>
      <c r="B33" s="26">
        <v>575</v>
      </c>
      <c r="C33" s="25">
        <v>6.11</v>
      </c>
      <c r="D33" s="25">
        <v>5.1386556521739131</v>
      </c>
      <c r="E33" s="25">
        <v>-2954.7269999999999</v>
      </c>
      <c r="F33" s="25">
        <v>610.27300000000014</v>
      </c>
      <c r="G33" s="25">
        <v>0</v>
      </c>
    </row>
    <row r="34" spans="1:7" x14ac:dyDescent="0.25">
      <c r="A34" s="3" t="s">
        <v>64</v>
      </c>
      <c r="B34" s="26">
        <v>75</v>
      </c>
      <c r="C34" s="25">
        <v>21</v>
      </c>
      <c r="D34" s="25">
        <v>19.813333333333333</v>
      </c>
      <c r="E34" s="25">
        <v>-1486</v>
      </c>
      <c r="F34" s="25">
        <v>603.5</v>
      </c>
      <c r="G34" s="25">
        <v>0</v>
      </c>
    </row>
    <row r="35" spans="1:7" x14ac:dyDescent="0.25">
      <c r="A35" s="3" t="s">
        <v>65</v>
      </c>
      <c r="B35" s="26">
        <v>10</v>
      </c>
      <c r="C35" s="25">
        <v>46</v>
      </c>
      <c r="D35" s="25">
        <v>46</v>
      </c>
      <c r="E35" s="25">
        <v>-460</v>
      </c>
      <c r="F35" s="25">
        <v>28.699999999999974</v>
      </c>
      <c r="G35" s="25">
        <v>0</v>
      </c>
    </row>
    <row r="36" spans="1:7" x14ac:dyDescent="0.25">
      <c r="A36" s="3" t="s">
        <v>66</v>
      </c>
      <c r="B36" s="26">
        <v>5</v>
      </c>
      <c r="C36" s="25">
        <v>92</v>
      </c>
      <c r="D36" s="25">
        <v>92</v>
      </c>
      <c r="E36" s="25">
        <v>-460</v>
      </c>
      <c r="F36" s="25">
        <v>79.3</v>
      </c>
      <c r="G36" s="25">
        <v>0</v>
      </c>
    </row>
    <row r="37" spans="1:7" x14ac:dyDescent="0.25">
      <c r="A37" s="3" t="s">
        <v>67</v>
      </c>
      <c r="B37" s="26">
        <v>135</v>
      </c>
      <c r="C37" s="25">
        <v>3.47</v>
      </c>
      <c r="D37" s="25">
        <v>3.47</v>
      </c>
      <c r="E37" s="25">
        <v>-468.45000000000005</v>
      </c>
      <c r="F37" s="25">
        <v>-103.95</v>
      </c>
      <c r="G37" s="25">
        <v>0</v>
      </c>
    </row>
    <row r="38" spans="1:7" x14ac:dyDescent="0.25">
      <c r="A38" s="3" t="s">
        <v>68</v>
      </c>
      <c r="B38" s="26">
        <v>30</v>
      </c>
      <c r="C38" s="25">
        <v>16</v>
      </c>
      <c r="D38" s="25">
        <v>16</v>
      </c>
      <c r="E38" s="25">
        <v>-480</v>
      </c>
      <c r="F38" s="25">
        <v>155.70000000000005</v>
      </c>
      <c r="G38" s="25">
        <v>0</v>
      </c>
    </row>
    <row r="39" spans="1:7" x14ac:dyDescent="0.25">
      <c r="A39" s="3" t="s">
        <v>69</v>
      </c>
      <c r="B39" s="26">
        <v>65</v>
      </c>
      <c r="C39" s="25">
        <v>7.18</v>
      </c>
      <c r="D39" s="25">
        <v>7.1799999999999979</v>
      </c>
      <c r="E39" s="25">
        <v>-466.69999999999987</v>
      </c>
      <c r="F39" s="25">
        <v>-44.849999999999852</v>
      </c>
      <c r="G39" s="25">
        <v>0</v>
      </c>
    </row>
    <row r="40" spans="1:7" x14ac:dyDescent="0.25">
      <c r="A40" s="3" t="s">
        <v>70</v>
      </c>
      <c r="B40" s="26">
        <v>25</v>
      </c>
      <c r="C40" s="25">
        <v>39</v>
      </c>
      <c r="D40" s="25">
        <v>35.4</v>
      </c>
      <c r="E40" s="25">
        <v>-885</v>
      </c>
      <c r="F40" s="25">
        <v>83</v>
      </c>
      <c r="G40" s="25">
        <v>0</v>
      </c>
    </row>
    <row r="41" spans="1:7" x14ac:dyDescent="0.25">
      <c r="A41" s="3" t="s">
        <v>71</v>
      </c>
      <c r="B41" s="26">
        <v>5</v>
      </c>
      <c r="C41" s="25">
        <v>78.34</v>
      </c>
      <c r="D41" s="25">
        <v>78.34</v>
      </c>
      <c r="E41" s="25">
        <v>-391.70000000000005</v>
      </c>
      <c r="F41" s="25">
        <v>207.54999999999995</v>
      </c>
      <c r="G41" s="25">
        <v>0</v>
      </c>
    </row>
    <row r="42" spans="1:7" x14ac:dyDescent="0.25">
      <c r="A42" s="3" t="s">
        <v>72</v>
      </c>
      <c r="B42" s="26">
        <v>20</v>
      </c>
      <c r="C42" s="25">
        <v>42</v>
      </c>
      <c r="D42" s="25">
        <v>42</v>
      </c>
      <c r="E42" s="25">
        <v>-840</v>
      </c>
      <c r="F42" s="25">
        <v>348.6</v>
      </c>
      <c r="G42" s="25">
        <v>0</v>
      </c>
    </row>
    <row r="43" spans="1:7" x14ac:dyDescent="0.25">
      <c r="A43" s="3" t="s">
        <v>73</v>
      </c>
      <c r="B43" s="26">
        <v>25</v>
      </c>
      <c r="C43" s="25">
        <v>36.619999999999997</v>
      </c>
      <c r="D43" s="25">
        <v>34.646000000000001</v>
      </c>
      <c r="E43" s="25">
        <v>-866.15</v>
      </c>
      <c r="F43" s="25">
        <v>236.59999999999997</v>
      </c>
      <c r="G43" s="25">
        <v>0</v>
      </c>
    </row>
    <row r="44" spans="1:7" x14ac:dyDescent="0.25">
      <c r="A44" s="3" t="s">
        <v>74</v>
      </c>
      <c r="B44" s="26">
        <v>10</v>
      </c>
      <c r="C44" s="25">
        <v>134.49</v>
      </c>
      <c r="D44" s="25">
        <v>115.245</v>
      </c>
      <c r="E44" s="25">
        <v>-1152.45</v>
      </c>
      <c r="F44" s="25">
        <v>-119.25000000000011</v>
      </c>
      <c r="G44" s="25">
        <v>0</v>
      </c>
    </row>
    <row r="45" spans="1:7" x14ac:dyDescent="0.25">
      <c r="A45" s="3" t="s">
        <v>75</v>
      </c>
      <c r="B45" s="26">
        <v>10</v>
      </c>
      <c r="C45" s="25">
        <v>60.98</v>
      </c>
      <c r="D45" s="25">
        <v>57.739999999999995</v>
      </c>
      <c r="E45" s="25">
        <v>-577.4</v>
      </c>
      <c r="F45" s="25">
        <v>241.1</v>
      </c>
      <c r="G45" s="25">
        <v>0</v>
      </c>
    </row>
    <row r="46" spans="1:7" x14ac:dyDescent="0.25">
      <c r="A46" s="3" t="s">
        <v>76</v>
      </c>
      <c r="B46" s="26">
        <v>10</v>
      </c>
      <c r="C46" s="25">
        <v>132.53</v>
      </c>
      <c r="D46" s="25">
        <v>115.28</v>
      </c>
      <c r="E46" s="25">
        <v>-1152.8</v>
      </c>
      <c r="F46" s="25">
        <v>151.80000000000007</v>
      </c>
      <c r="G46" s="25">
        <v>0</v>
      </c>
    </row>
    <row r="47" spans="1:7" x14ac:dyDescent="0.25">
      <c r="A47" s="3" t="s">
        <v>77</v>
      </c>
      <c r="B47" s="26">
        <v>10</v>
      </c>
      <c r="C47" s="25">
        <v>42.14</v>
      </c>
      <c r="D47" s="25">
        <v>42.14</v>
      </c>
      <c r="E47" s="25">
        <v>-421.4</v>
      </c>
      <c r="F47" s="25">
        <v>125.89999999999996</v>
      </c>
      <c r="G47" s="25">
        <v>0</v>
      </c>
    </row>
    <row r="48" spans="1:7" x14ac:dyDescent="0.25">
      <c r="A48" s="3" t="s">
        <v>78</v>
      </c>
      <c r="B48" s="26">
        <v>140</v>
      </c>
      <c r="C48" s="25">
        <v>10.805</v>
      </c>
      <c r="D48" s="25">
        <v>10.449107142857143</v>
      </c>
      <c r="E48" s="25">
        <v>-1462.875</v>
      </c>
      <c r="F48" s="25">
        <v>-208.47499999999985</v>
      </c>
      <c r="G48" s="25">
        <v>0</v>
      </c>
    </row>
    <row r="49" spans="1:7" x14ac:dyDescent="0.25">
      <c r="A49" s="3" t="s">
        <v>79</v>
      </c>
      <c r="B49" s="26">
        <v>75</v>
      </c>
      <c r="C49" s="25">
        <v>20</v>
      </c>
      <c r="D49" s="25">
        <v>19</v>
      </c>
      <c r="E49" s="25">
        <v>-1425</v>
      </c>
      <c r="F49" s="25">
        <v>54.750000000000028</v>
      </c>
      <c r="G49" s="25">
        <v>0</v>
      </c>
    </row>
    <row r="50" spans="1:7" x14ac:dyDescent="0.25">
      <c r="A50" s="3" t="s">
        <v>80</v>
      </c>
      <c r="B50" s="26">
        <v>20</v>
      </c>
      <c r="C50" s="25">
        <v>22.52</v>
      </c>
      <c r="D50" s="25">
        <v>22.52</v>
      </c>
      <c r="E50" s="25">
        <v>-450.4</v>
      </c>
      <c r="F50" s="25">
        <v>31.600000000000037</v>
      </c>
      <c r="G50" s="25">
        <v>0</v>
      </c>
    </row>
    <row r="51" spans="1:7" x14ac:dyDescent="0.25">
      <c r="A51" s="3" t="s">
        <v>81</v>
      </c>
      <c r="B51" s="26">
        <v>30</v>
      </c>
      <c r="C51" s="25">
        <v>11.8</v>
      </c>
      <c r="D51" s="25">
        <v>11.8</v>
      </c>
      <c r="E51" s="25">
        <v>-354</v>
      </c>
      <c r="F51" s="25">
        <v>35.999999999999979</v>
      </c>
      <c r="G51" s="25">
        <v>0</v>
      </c>
    </row>
    <row r="52" spans="1:7" x14ac:dyDescent="0.25">
      <c r="A52" s="3" t="s">
        <v>82</v>
      </c>
      <c r="B52" s="26">
        <v>30</v>
      </c>
      <c r="C52" s="25">
        <v>17</v>
      </c>
      <c r="D52" s="25">
        <v>17</v>
      </c>
      <c r="E52" s="25">
        <v>-510</v>
      </c>
      <c r="F52" s="25">
        <v>-321.59999999999997</v>
      </c>
      <c r="G52" s="25">
        <v>0</v>
      </c>
    </row>
    <row r="53" spans="1:7" x14ac:dyDescent="0.25">
      <c r="A53" s="3" t="s">
        <v>83</v>
      </c>
      <c r="B53" s="26">
        <v>10</v>
      </c>
      <c r="C53" s="25">
        <v>35.5</v>
      </c>
      <c r="D53" s="25">
        <v>35.5</v>
      </c>
      <c r="E53" s="25">
        <v>-355</v>
      </c>
      <c r="F53" s="25">
        <v>438</v>
      </c>
      <c r="G53" s="25">
        <v>0</v>
      </c>
    </row>
    <row r="54" spans="1:7" x14ac:dyDescent="0.25">
      <c r="A54" s="3" t="s">
        <v>84</v>
      </c>
      <c r="B54" s="26">
        <v>10</v>
      </c>
      <c r="C54" s="25">
        <v>39.99</v>
      </c>
      <c r="D54" s="25">
        <v>39.99</v>
      </c>
      <c r="E54" s="25">
        <v>-399.90000000000003</v>
      </c>
      <c r="F54" s="25">
        <v>249.79999999999995</v>
      </c>
      <c r="G54" s="25">
        <v>0</v>
      </c>
    </row>
    <row r="55" spans="1:7" x14ac:dyDescent="0.25">
      <c r="A55" s="3" t="s">
        <v>85</v>
      </c>
      <c r="B55" s="26">
        <v>20</v>
      </c>
      <c r="C55" s="25">
        <v>41.42</v>
      </c>
      <c r="D55" s="25">
        <v>38.464999999999996</v>
      </c>
      <c r="E55" s="25">
        <v>-769.3</v>
      </c>
      <c r="F55" s="25">
        <v>299.90000000000009</v>
      </c>
      <c r="G55" s="25">
        <v>0</v>
      </c>
    </row>
    <row r="56" spans="1:7" x14ac:dyDescent="0.25">
      <c r="A56" s="3" t="s">
        <v>86</v>
      </c>
      <c r="B56" s="26">
        <v>175</v>
      </c>
      <c r="C56" s="25">
        <v>21.1</v>
      </c>
      <c r="D56" s="25">
        <v>17.355428571428572</v>
      </c>
      <c r="E56" s="25">
        <v>-3037.2</v>
      </c>
      <c r="F56" s="25">
        <v>254.5499999999997</v>
      </c>
      <c r="G56" s="25">
        <v>0</v>
      </c>
    </row>
    <row r="57" spans="1:7" x14ac:dyDescent="0.25">
      <c r="A57" s="3" t="s">
        <v>87</v>
      </c>
      <c r="B57" s="26">
        <v>5</v>
      </c>
      <c r="C57" s="25">
        <v>95.03</v>
      </c>
      <c r="D57" s="25">
        <v>95.03</v>
      </c>
      <c r="E57" s="25">
        <v>-475.15</v>
      </c>
      <c r="F57" s="25">
        <v>81.34999999999998</v>
      </c>
      <c r="G57" s="25">
        <v>0</v>
      </c>
    </row>
    <row r="58" spans="1:7" x14ac:dyDescent="0.25">
      <c r="A58" s="3" t="s">
        <v>88</v>
      </c>
      <c r="B58" s="26">
        <v>15</v>
      </c>
      <c r="C58" s="25">
        <v>66.14</v>
      </c>
      <c r="D58" s="25">
        <v>65.206666666666678</v>
      </c>
      <c r="E58" s="25">
        <v>-978.10000000000014</v>
      </c>
      <c r="F58" s="25">
        <v>-24.550000000000161</v>
      </c>
      <c r="G58" s="25">
        <v>0</v>
      </c>
    </row>
    <row r="59" spans="1:7" x14ac:dyDescent="0.25">
      <c r="A59" s="3" t="s">
        <v>89</v>
      </c>
      <c r="B59" s="26">
        <v>70</v>
      </c>
      <c r="C59" s="25">
        <v>6.85</v>
      </c>
      <c r="D59" s="25">
        <v>6.85</v>
      </c>
      <c r="E59" s="25">
        <v>-479.5</v>
      </c>
      <c r="F59" s="25">
        <v>-74.899999999999963</v>
      </c>
      <c r="G59" s="25">
        <v>0</v>
      </c>
    </row>
    <row r="60" spans="1:7" x14ac:dyDescent="0.25">
      <c r="A60" s="3" t="s">
        <v>90</v>
      </c>
      <c r="B60" s="26">
        <v>5</v>
      </c>
      <c r="C60" s="25">
        <v>58</v>
      </c>
      <c r="D60" s="25">
        <v>58</v>
      </c>
      <c r="E60" s="25">
        <v>-290</v>
      </c>
      <c r="F60" s="25">
        <v>82.100000000000009</v>
      </c>
      <c r="G60" s="25">
        <v>0</v>
      </c>
    </row>
    <row r="61" spans="1:7" x14ac:dyDescent="0.25">
      <c r="A61" s="3" t="s">
        <v>91</v>
      </c>
      <c r="B61" s="26">
        <v>5</v>
      </c>
      <c r="C61" s="25">
        <v>59</v>
      </c>
      <c r="D61" s="25">
        <v>59</v>
      </c>
      <c r="E61" s="25">
        <v>-295</v>
      </c>
      <c r="F61" s="25">
        <v>50</v>
      </c>
      <c r="G61" s="25">
        <v>0</v>
      </c>
    </row>
    <row r="62" spans="1:7" x14ac:dyDescent="0.25">
      <c r="A62" s="3" t="s">
        <v>92</v>
      </c>
      <c r="B62" s="26">
        <v>30</v>
      </c>
      <c r="C62" s="25">
        <v>33.520000000000003</v>
      </c>
      <c r="D62" s="25">
        <v>32.885000000000005</v>
      </c>
      <c r="E62" s="25">
        <v>-986.55000000000007</v>
      </c>
      <c r="F62" s="25">
        <v>-145.05000000000013</v>
      </c>
      <c r="G62" s="25">
        <v>0</v>
      </c>
    </row>
    <row r="63" spans="1:7" x14ac:dyDescent="0.25">
      <c r="A63" s="3" t="s">
        <v>93</v>
      </c>
      <c r="B63" s="26">
        <v>95</v>
      </c>
      <c r="C63" s="25">
        <v>15.49</v>
      </c>
      <c r="D63" s="25">
        <v>14.765263157894738</v>
      </c>
      <c r="E63" s="25">
        <v>-1402.7</v>
      </c>
      <c r="F63" s="25">
        <v>228.45000000000005</v>
      </c>
      <c r="G63" s="25">
        <v>0</v>
      </c>
    </row>
    <row r="64" spans="1:7" x14ac:dyDescent="0.25">
      <c r="A64" s="3" t="s">
        <v>94</v>
      </c>
      <c r="B64" s="26">
        <v>535</v>
      </c>
      <c r="C64" s="25">
        <v>2.9083999999999999</v>
      </c>
      <c r="D64" s="25">
        <v>2.7845233644859815</v>
      </c>
      <c r="E64" s="25">
        <v>-1489.72</v>
      </c>
      <c r="F64" s="25">
        <v>-120.12000000000006</v>
      </c>
      <c r="G64" s="25">
        <v>0</v>
      </c>
    </row>
    <row r="65" spans="1:7" x14ac:dyDescent="0.25">
      <c r="A65" s="3" t="s">
        <v>95</v>
      </c>
      <c r="B65" s="26">
        <v>130</v>
      </c>
      <c r="C65" s="25">
        <v>15</v>
      </c>
      <c r="D65" s="25">
        <v>10.763461538461538</v>
      </c>
      <c r="E65" s="25">
        <v>-1399.25</v>
      </c>
      <c r="F65" s="25">
        <v>-729.74999999999989</v>
      </c>
      <c r="G65" s="25">
        <v>0</v>
      </c>
    </row>
    <row r="66" spans="1:7" x14ac:dyDescent="0.25">
      <c r="A66" s="3" t="s">
        <v>96</v>
      </c>
      <c r="B66" s="26">
        <v>100</v>
      </c>
      <c r="C66" s="25">
        <v>4</v>
      </c>
      <c r="D66" s="25">
        <v>4</v>
      </c>
      <c r="E66" s="25">
        <v>-400</v>
      </c>
      <c r="F66" s="25">
        <v>287</v>
      </c>
      <c r="G66" s="25">
        <v>0</v>
      </c>
    </row>
    <row r="67" spans="1:7" x14ac:dyDescent="0.25">
      <c r="A67" s="3" t="s">
        <v>97</v>
      </c>
      <c r="B67" s="26">
        <v>20</v>
      </c>
      <c r="C67" s="25">
        <v>6.3</v>
      </c>
      <c r="D67" s="25">
        <v>6.3</v>
      </c>
      <c r="E67" s="25">
        <v>-142.5</v>
      </c>
      <c r="F67" s="25">
        <v>-49.399999999999991</v>
      </c>
      <c r="G67" s="25">
        <v>-142.5</v>
      </c>
    </row>
    <row r="68" spans="1:7" x14ac:dyDescent="0.25">
      <c r="A68" s="3" t="s">
        <v>98</v>
      </c>
      <c r="B68" s="26">
        <v>20</v>
      </c>
      <c r="C68" s="25">
        <v>44.02</v>
      </c>
      <c r="D68" s="25">
        <v>43.605000000000004</v>
      </c>
      <c r="E68" s="25">
        <v>-872.1</v>
      </c>
      <c r="F68" s="25">
        <v>142.69999999999996</v>
      </c>
      <c r="G68" s="25">
        <v>0</v>
      </c>
    </row>
    <row r="69" spans="1:7" x14ac:dyDescent="0.25">
      <c r="A69" s="3" t="s">
        <v>99</v>
      </c>
      <c r="B69" s="26">
        <v>15</v>
      </c>
      <c r="C69" s="25">
        <v>80.989999999999995</v>
      </c>
      <c r="D69" s="25">
        <v>79.373333333333321</v>
      </c>
      <c r="E69" s="25">
        <v>-1190.5999999999999</v>
      </c>
      <c r="F69" s="25">
        <v>140.35000000000025</v>
      </c>
      <c r="G69" s="25">
        <v>0</v>
      </c>
    </row>
    <row r="70" spans="1:7" x14ac:dyDescent="0.25">
      <c r="A70" s="3" t="s">
        <v>111</v>
      </c>
      <c r="B70" s="26">
        <v>0</v>
      </c>
      <c r="C70" s="25">
        <v>528.20000000000005</v>
      </c>
      <c r="D70" s="25">
        <v>0</v>
      </c>
      <c r="E70" s="25">
        <v>1002</v>
      </c>
      <c r="F70" s="25">
        <v>0</v>
      </c>
      <c r="G70" s="25">
        <v>1002</v>
      </c>
    </row>
    <row r="71" spans="1:7" x14ac:dyDescent="0.25">
      <c r="A71" s="49" t="s">
        <v>23</v>
      </c>
      <c r="B71" s="26">
        <v>0</v>
      </c>
      <c r="C71" s="25">
        <v>528.20000000000005</v>
      </c>
      <c r="D71" s="25">
        <v>0</v>
      </c>
      <c r="E71" s="25">
        <v>1002</v>
      </c>
      <c r="F71" s="25">
        <v>0</v>
      </c>
      <c r="G71" s="25">
        <v>1002</v>
      </c>
    </row>
    <row r="72" spans="1:7" x14ac:dyDescent="0.25">
      <c r="A72" s="50" t="s">
        <v>112</v>
      </c>
      <c r="B72" s="26">
        <v>10</v>
      </c>
      <c r="C72" s="25">
        <v>428</v>
      </c>
      <c r="D72" s="25">
        <v>0</v>
      </c>
      <c r="E72" s="25">
        <v>-4280</v>
      </c>
      <c r="F72" s="25">
        <v>0</v>
      </c>
      <c r="G72" s="25">
        <v>0</v>
      </c>
    </row>
    <row r="73" spans="1:7" x14ac:dyDescent="0.25">
      <c r="A73" s="51">
        <v>45663.395833333336</v>
      </c>
      <c r="B73" s="26">
        <v>10</v>
      </c>
      <c r="C73" s="25">
        <v>428</v>
      </c>
      <c r="D73" s="25">
        <v>0</v>
      </c>
      <c r="E73" s="25">
        <v>-4280</v>
      </c>
      <c r="F73" s="25">
        <v>0</v>
      </c>
      <c r="G73" s="25">
        <v>0</v>
      </c>
    </row>
    <row r="74" spans="1:7" x14ac:dyDescent="0.25">
      <c r="A74" s="50" t="s">
        <v>113</v>
      </c>
      <c r="B74" s="26">
        <v>-10</v>
      </c>
      <c r="C74" s="25">
        <v>528.20000000000005</v>
      </c>
      <c r="D74" s="25">
        <v>0</v>
      </c>
      <c r="E74" s="25">
        <v>5282</v>
      </c>
      <c r="F74" s="25">
        <v>0</v>
      </c>
      <c r="G74" s="25">
        <v>1002</v>
      </c>
    </row>
    <row r="75" spans="1:7" x14ac:dyDescent="0.25">
      <c r="A75" s="51">
        <v>45937.395833333336</v>
      </c>
      <c r="B75" s="26">
        <v>-10</v>
      </c>
      <c r="C75" s="25">
        <v>528.20000000000005</v>
      </c>
      <c r="D75" s="25">
        <v>0</v>
      </c>
      <c r="E75" s="25">
        <v>5282</v>
      </c>
      <c r="F75" s="25">
        <v>0</v>
      </c>
      <c r="G75" s="25">
        <v>1002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8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2">
        <f>SUMIFS(trades[Realized  P&amp;L], trades[Exec Time], "&gt;="&amp;monthly_pl[[#This Row],[Month]], trades[Exec Time], "&lt;="&amp;EOMONTH(monthly_pl[[#This Row],[Month]],0), trades[Open P&amp;L], "")</f>
        <v>0</v>
      </c>
      <c r="C4" s="2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2">
        <f>SUMIFS(trades[Realized  P&amp;L], trades[Exec Time], "&gt;="&amp;monthly_pl[[#This Row],[Month]], trades[Exec Time], "&lt;="&amp;EOMONTH(monthly_pl[[#This Row],[Month]],0), trades[Open P&amp;L], "")</f>
        <v>0</v>
      </c>
      <c r="C5" s="2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2">
        <f ca="1">SUMIFS(trades[Realized  P&amp;L], trades[Exec Time], "&gt;="&amp;monthly_pl[[#This Row],[Month]], trades[Exec Time], "&lt;="&amp;EOMONTH(monthly_pl[[#This Row],[Month]],0), trades[Open P&amp;L], "")</f>
        <v>717.61599999999999</v>
      </c>
      <c r="C6" s="2">
        <f ca="1">SUM($B$4:monthly_pl[[#This Row],[Gross P&amp;L]])</f>
        <v>717.61599999999999</v>
      </c>
      <c r="D6" s="2"/>
      <c r="E6" s="2"/>
      <c r="F6" s="9"/>
    </row>
    <row r="7" spans="1:6" x14ac:dyDescent="0.25">
      <c r="A7" s="10">
        <v>45658</v>
      </c>
      <c r="B7" s="2">
        <f>SUMIFS(trades[Realized  P&amp;L], trades[Exec Time], "&gt;="&amp;monthly_pl[[#This Row],[Month]], trades[Exec Time], "&lt;="&amp;EOMONTH(monthly_pl[[#This Row],[Month]],0), trades[Open P&amp;L], "")</f>
        <v>0</v>
      </c>
      <c r="C7" s="2">
        <f ca="1">SUM($B$4:monthly_pl[[#This Row],[Gross P&amp;L]])</f>
        <v>717.61599999999999</v>
      </c>
      <c r="D7" s="2"/>
      <c r="E7" s="2"/>
      <c r="F7" s="9"/>
    </row>
    <row r="8" spans="1:6" x14ac:dyDescent="0.25">
      <c r="A8" s="10">
        <v>45689</v>
      </c>
      <c r="B8" s="2">
        <f>SUMIFS(trades[Realized  P&amp;L], trades[Exec Time], "&gt;="&amp;monthly_pl[[#This Row],[Month]], trades[Exec Time], "&lt;="&amp;EOMONTH(monthly_pl[[#This Row],[Month]],0), trades[Open P&amp;L], "")</f>
        <v>0</v>
      </c>
      <c r="C8" s="2">
        <f ca="1">SUM($B$4:monthly_pl[[#This Row],[Gross P&amp;L]])</f>
        <v>717.61599999999999</v>
      </c>
      <c r="D8" s="2"/>
      <c r="E8" s="2"/>
      <c r="F8" s="9"/>
    </row>
    <row r="9" spans="1:6" x14ac:dyDescent="0.25">
      <c r="A9" s="10">
        <v>45717</v>
      </c>
      <c r="B9" s="2">
        <f>SUMIFS(trades[Realized  P&amp;L], trades[Exec Time], "&gt;="&amp;monthly_pl[[#This Row],[Month]], trades[Exec Time], "&lt;="&amp;EOMONTH(monthly_pl[[#This Row],[Month]],0), trades[Open P&amp;L], "")</f>
        <v>0</v>
      </c>
      <c r="C9" s="2">
        <f ca="1">SUM($B$4:monthly_pl[[#This Row],[Gross P&amp;L]])</f>
        <v>717.61599999999999</v>
      </c>
      <c r="D9" s="2"/>
      <c r="E9" s="2"/>
      <c r="F9" s="9"/>
    </row>
    <row r="10" spans="1:6" x14ac:dyDescent="0.25">
      <c r="A10" s="10">
        <v>45748</v>
      </c>
      <c r="B10" s="2">
        <f>SUMIFS(trades[Realized  P&amp;L], trades[Exec Time], "&gt;="&amp;monthly_pl[[#This Row],[Month]], trades[Exec Time], "&lt;="&amp;EOMONTH(monthly_pl[[#This Row],[Month]],0), trades[Open P&amp;L], "")</f>
        <v>0</v>
      </c>
      <c r="C10" s="2">
        <f ca="1">SUM($B$4:monthly_pl[[#This Row],[Gross P&amp;L]])</f>
        <v>717.61599999999999</v>
      </c>
      <c r="D10" s="2"/>
      <c r="E10" s="2"/>
      <c r="F10" s="9"/>
    </row>
    <row r="11" spans="1:6" x14ac:dyDescent="0.25">
      <c r="A11" s="10">
        <v>45778</v>
      </c>
      <c r="B11" s="2">
        <f>SUMIFS(trades[Realized  P&amp;L], trades[Exec Time], "&gt;="&amp;monthly_pl[[#This Row],[Month]], trades[Exec Time], "&lt;="&amp;EOMONTH(monthly_pl[[#This Row],[Month]],0), trades[Open P&amp;L], "")</f>
        <v>0</v>
      </c>
      <c r="C11" s="2">
        <f ca="1">SUM($B$4:monthly_pl[[#This Row],[Gross P&amp;L]])</f>
        <v>717.61599999999999</v>
      </c>
      <c r="D11" s="2"/>
      <c r="E11" s="2"/>
      <c r="F11" s="9"/>
    </row>
    <row r="12" spans="1:6" x14ac:dyDescent="0.25">
      <c r="A12" s="10">
        <v>45809</v>
      </c>
      <c r="B12" s="2">
        <f>SUMIFS(trades[Realized  P&amp;L], trades[Exec Time], "&gt;="&amp;monthly_pl[[#This Row],[Month]], trades[Exec Time], "&lt;="&amp;EOMONTH(monthly_pl[[#This Row],[Month]],0), trades[Open P&amp;L], "")</f>
        <v>0</v>
      </c>
      <c r="C12" s="2">
        <f ca="1">SUM($B$4:monthly_pl[[#This Row],[Gross P&amp;L]])</f>
        <v>717.61599999999999</v>
      </c>
      <c r="D12" s="2"/>
      <c r="E12" s="2"/>
      <c r="F12" s="9"/>
    </row>
    <row r="13" spans="1:6" x14ac:dyDescent="0.25">
      <c r="A13" s="10">
        <v>45839</v>
      </c>
      <c r="B13" s="2">
        <f ca="1">SUMIFS(trades[Realized  P&amp;L], trades[Exec Time], "&gt;="&amp;monthly_pl[[#This Row],[Month]], trades[Exec Time], "&lt;="&amp;EOMONTH(monthly_pl[[#This Row],[Month]],0), trades[Open P&amp;L], "")</f>
        <v>-142.5</v>
      </c>
      <c r="C13" s="2">
        <f ca="1">SUM($B$4:monthly_pl[[#This Row],[Gross P&amp;L]])</f>
        <v>575.11599999999999</v>
      </c>
      <c r="D13" s="2"/>
      <c r="E13" s="2"/>
      <c r="F13" s="9"/>
    </row>
    <row r="14" spans="1:6" x14ac:dyDescent="0.25">
      <c r="A14" s="10">
        <v>45870</v>
      </c>
      <c r="B14" s="2">
        <f>SUMIFS(trades[Realized  P&amp;L], trades[Exec Time], "&gt;="&amp;monthly_pl[[#This Row],[Month]], trades[Exec Time], "&lt;="&amp;EOMONTH(monthly_pl[[#This Row],[Month]],0), trades[Open P&amp;L], "")</f>
        <v>0</v>
      </c>
      <c r="C14" s="2">
        <f ca="1">SUM($B$4:monthly_pl[[#This Row],[Gross P&amp;L]])</f>
        <v>575.11599999999999</v>
      </c>
      <c r="D14" s="2"/>
      <c r="E14" s="2"/>
      <c r="F14" s="9"/>
    </row>
    <row r="15" spans="1:6" x14ac:dyDescent="0.25">
      <c r="A15" s="10">
        <v>45901</v>
      </c>
      <c r="B15" s="2">
        <f>SUMIFS(trades[Realized  P&amp;L], trades[Exec Time], "&gt;="&amp;monthly_pl[[#This Row],[Month]], trades[Exec Time], "&lt;="&amp;EOMONTH(monthly_pl[[#This Row],[Month]],0), trades[Open P&amp;L], "")</f>
        <v>0</v>
      </c>
      <c r="C15" s="2">
        <f ca="1">SUM($B$4:monthly_pl[[#This Row],[Gross P&amp;L]])</f>
        <v>575.11599999999999</v>
      </c>
      <c r="D15" s="2"/>
      <c r="E15" s="2"/>
      <c r="F15" s="9"/>
    </row>
    <row r="16" spans="1:6" x14ac:dyDescent="0.25">
      <c r="A16" s="10">
        <v>45931</v>
      </c>
      <c r="B16" s="2">
        <f ca="1">SUMIFS(trades[Realized  P&amp;L], trades[Exec Time], "&gt;="&amp;monthly_pl[[#This Row],[Month]], trades[Exec Time], "&lt;="&amp;EOMONTH(monthly_pl[[#This Row],[Month]],0), trades[Open P&amp;L], "")</f>
        <v>1002</v>
      </c>
      <c r="C16" s="2">
        <f ca="1">SUM($B$4:monthly_pl[[#This Row],[Gross P&amp;L]])</f>
        <v>1577.116</v>
      </c>
      <c r="D16" s="2"/>
      <c r="E16" s="2"/>
      <c r="F16" s="9"/>
    </row>
    <row r="17" spans="1:6" x14ac:dyDescent="0.25">
      <c r="A17" s="10">
        <v>45962</v>
      </c>
      <c r="B17" s="2">
        <f>SUMIFS(trades[Realized  P&amp;L], trades[Exec Time], "&gt;="&amp;monthly_pl[[#This Row],[Month]], trades[Exec Time], "&lt;="&amp;EOMONTH(monthly_pl[[#This Row],[Month]],0), trades[Open P&amp;L], "")</f>
        <v>0</v>
      </c>
      <c r="C17" s="2">
        <f ca="1">SUM($B$4:monthly_pl[[#This Row],[Gross P&amp;L]])</f>
        <v>1577.116</v>
      </c>
      <c r="D17" s="2"/>
      <c r="E17" s="2"/>
      <c r="F17" s="9"/>
    </row>
    <row r="18" spans="1:6" x14ac:dyDescent="0.25">
      <c r="A18" s="10">
        <v>45992</v>
      </c>
      <c r="B18" s="2">
        <f>SUMIFS(trades[Realized  P&amp;L], trades[Exec Time], "&gt;="&amp;monthly_pl[[#This Row],[Month]], trades[Exec Time], "&lt;="&amp;EOMONTH(monthly_pl[[#This Row],[Month]],0), trades[Open P&amp;L], "")</f>
        <v>0</v>
      </c>
      <c r="C18" s="2">
        <f ca="1">SUM($B$4:monthly_pl[[#This Row],[Gross P&amp;L]])</f>
        <v>1577.116</v>
      </c>
      <c r="D18" s="2"/>
      <c r="E18" s="2"/>
      <c r="F18" s="9"/>
    </row>
    <row r="19" spans="1:6" x14ac:dyDescent="0.25">
      <c r="A19" s="4" t="s">
        <v>12</v>
      </c>
      <c r="B19" s="2">
        <f ca="1">SUBTOTAL(109,monthly_pl[Gross P&amp;L])</f>
        <v>1577.116</v>
      </c>
      <c r="C19" s="2"/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8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2">
        <f>SUMIFS(trades[Realized  P&amp;L], trades[Exec Time], "&gt;="&amp;monthly_pl9[[#This Row],[Month]], trades[Exec Time], "&lt;="&amp;EOMONTH(monthly_pl9[[#This Row],[Month]],0), trades[Open P&amp;L], "")</f>
        <v>0</v>
      </c>
      <c r="C23" s="2">
        <f ca="1">SUM($B$4:monthly_pl9[[#This Row],[Gross P&amp;L]])</f>
        <v>3154.232</v>
      </c>
      <c r="D23" s="2"/>
      <c r="E23" s="2"/>
      <c r="F23" s="9"/>
    </row>
    <row r="24" spans="1:6" x14ac:dyDescent="0.25">
      <c r="A24" s="10">
        <v>46054</v>
      </c>
      <c r="B24" s="2">
        <f>SUMIFS(trades[Realized  P&amp;L], trades[Exec Time], "&gt;="&amp;monthly_pl9[[#This Row],[Month]], trades[Exec Time], "&lt;="&amp;EOMONTH(monthly_pl9[[#This Row],[Month]],0), trades[Open P&amp;L], "")</f>
        <v>0</v>
      </c>
      <c r="C24" s="2">
        <f ca="1">SUM($B$4:monthly_pl9[[#This Row],[Gross P&amp;L]])</f>
        <v>3154.232</v>
      </c>
      <c r="D24" s="2"/>
      <c r="E24" s="2"/>
      <c r="F24" s="9"/>
    </row>
    <row r="25" spans="1:6" x14ac:dyDescent="0.25">
      <c r="A25" s="10">
        <v>46082</v>
      </c>
      <c r="B25" s="2">
        <f>SUMIFS(trades[Realized  P&amp;L], trades[Exec Time], "&gt;="&amp;monthly_pl9[[#This Row],[Month]], trades[Exec Time], "&lt;="&amp;EOMONTH(monthly_pl9[[#This Row],[Month]],0), trades[Open P&amp;L], "")</f>
        <v>0</v>
      </c>
      <c r="C25" s="2">
        <f ca="1">SUM($B$4:monthly_pl9[[#This Row],[Gross P&amp;L]])</f>
        <v>3154.232</v>
      </c>
      <c r="D25" s="2"/>
      <c r="E25" s="2"/>
      <c r="F25" s="9"/>
    </row>
    <row r="26" spans="1:6" x14ac:dyDescent="0.25">
      <c r="A26" s="10">
        <v>46113</v>
      </c>
      <c r="B26" s="2">
        <f>SUMIFS(trades[Realized  P&amp;L], trades[Exec Time], "&gt;="&amp;monthly_pl9[[#This Row],[Month]], trades[Exec Time], "&lt;="&amp;EOMONTH(monthly_pl9[[#This Row],[Month]],0), trades[Open P&amp;L], "")</f>
        <v>0</v>
      </c>
      <c r="C26" s="2">
        <f ca="1">SUM($B$4:monthly_pl9[[#This Row],[Gross P&amp;L]])</f>
        <v>3154.232</v>
      </c>
      <c r="D26" s="2"/>
      <c r="E26" s="2"/>
      <c r="F26" s="9"/>
    </row>
    <row r="27" spans="1:6" x14ac:dyDescent="0.25">
      <c r="A27" s="10">
        <v>46143</v>
      </c>
      <c r="B27" s="2">
        <f>SUMIFS(trades[Realized  P&amp;L], trades[Exec Time], "&gt;="&amp;monthly_pl9[[#This Row],[Month]], trades[Exec Time], "&lt;="&amp;EOMONTH(monthly_pl9[[#This Row],[Month]],0), trades[Open P&amp;L], "")</f>
        <v>0</v>
      </c>
      <c r="C27" s="2">
        <f ca="1">SUM($B$4:monthly_pl9[[#This Row],[Gross P&amp;L]])</f>
        <v>3154.232</v>
      </c>
      <c r="D27" s="2"/>
      <c r="E27" s="2"/>
      <c r="F27" s="9"/>
    </row>
    <row r="28" spans="1:6" x14ac:dyDescent="0.25">
      <c r="A28" s="10">
        <v>46174</v>
      </c>
      <c r="B28" s="2">
        <f>SUMIFS(trades[Realized  P&amp;L], trades[Exec Time], "&gt;="&amp;monthly_pl9[[#This Row],[Month]], trades[Exec Time], "&lt;="&amp;EOMONTH(monthly_pl9[[#This Row],[Month]],0), trades[Open P&amp;L], "")</f>
        <v>0</v>
      </c>
      <c r="C28" s="2">
        <f ca="1">SUM($B$4:monthly_pl9[[#This Row],[Gross P&amp;L]])</f>
        <v>3154.232</v>
      </c>
      <c r="D28" s="2"/>
      <c r="E28" s="2"/>
      <c r="F28" s="9"/>
    </row>
    <row r="29" spans="1:6" x14ac:dyDescent="0.25">
      <c r="A29" s="10">
        <v>46204</v>
      </c>
      <c r="B29" s="2">
        <f>SUMIFS(trades[Realized  P&amp;L], trades[Exec Time], "&gt;="&amp;monthly_pl9[[#This Row],[Month]], trades[Exec Time], "&lt;="&amp;EOMONTH(monthly_pl9[[#This Row],[Month]],0), trades[Open P&amp;L], "")</f>
        <v>0</v>
      </c>
      <c r="C29" s="2">
        <f ca="1">SUM($B$4:monthly_pl9[[#This Row],[Gross P&amp;L]])</f>
        <v>3154.232</v>
      </c>
      <c r="D29" s="2"/>
      <c r="E29" s="2"/>
      <c r="F29" s="9"/>
    </row>
    <row r="30" spans="1:6" x14ac:dyDescent="0.25">
      <c r="A30" s="10">
        <v>46235</v>
      </c>
      <c r="B30" s="2">
        <f>SUMIFS(trades[Realized  P&amp;L], trades[Exec Time], "&gt;="&amp;monthly_pl9[[#This Row],[Month]], trades[Exec Time], "&lt;="&amp;EOMONTH(monthly_pl9[[#This Row],[Month]],0), trades[Open P&amp;L], "")</f>
        <v>0</v>
      </c>
      <c r="C30" s="2">
        <f ca="1">SUM($B$4:monthly_pl9[[#This Row],[Gross P&amp;L]])</f>
        <v>3154.232</v>
      </c>
      <c r="D30" s="2"/>
      <c r="E30" s="2"/>
      <c r="F30" s="9"/>
    </row>
    <row r="31" spans="1:6" x14ac:dyDescent="0.25">
      <c r="A31" s="10">
        <v>46266</v>
      </c>
      <c r="B31" s="2">
        <f>SUMIFS(trades[Realized  P&amp;L], trades[Exec Time], "&gt;="&amp;monthly_pl9[[#This Row],[Month]], trades[Exec Time], "&lt;="&amp;EOMONTH(monthly_pl9[[#This Row],[Month]],0), trades[Open P&amp;L], "")</f>
        <v>0</v>
      </c>
      <c r="C31" s="2">
        <f ca="1">SUM($B$4:monthly_pl9[[#This Row],[Gross P&amp;L]])</f>
        <v>3154.232</v>
      </c>
      <c r="D31" s="2"/>
      <c r="E31" s="2"/>
      <c r="F31" s="9"/>
    </row>
    <row r="32" spans="1:6" x14ac:dyDescent="0.25">
      <c r="A32" s="10">
        <v>46296</v>
      </c>
      <c r="B32" s="2">
        <f>SUMIFS(trades[Realized  P&amp;L], trades[Exec Time], "&gt;="&amp;monthly_pl9[[#This Row],[Month]], trades[Exec Time], "&lt;="&amp;EOMONTH(monthly_pl9[[#This Row],[Month]],0), trades[Open P&amp;L], "")</f>
        <v>0</v>
      </c>
      <c r="C32" s="2">
        <f ca="1">SUM($B$4:monthly_pl9[[#This Row],[Gross P&amp;L]])</f>
        <v>3154.232</v>
      </c>
      <c r="D32" s="2"/>
      <c r="E32" s="2"/>
      <c r="F32" s="9"/>
    </row>
    <row r="33" spans="1:6" x14ac:dyDescent="0.25">
      <c r="A33" s="10">
        <v>46327</v>
      </c>
      <c r="B33" s="2">
        <f>SUMIFS(trades[Realized  P&amp;L], trades[Exec Time], "&gt;="&amp;monthly_pl9[[#This Row],[Month]], trades[Exec Time], "&lt;="&amp;EOMONTH(monthly_pl9[[#This Row],[Month]],0), trades[Open P&amp;L], "")</f>
        <v>0</v>
      </c>
      <c r="C33" s="2">
        <f ca="1">SUM($B$4:monthly_pl9[[#This Row],[Gross P&amp;L]])</f>
        <v>3154.232</v>
      </c>
      <c r="D33" s="2"/>
      <c r="E33" s="2"/>
      <c r="F33" s="9"/>
    </row>
    <row r="34" spans="1:6" x14ac:dyDescent="0.25">
      <c r="A34" s="10">
        <v>46357</v>
      </c>
      <c r="B34" s="2">
        <f>SUMIFS(trades[Realized  P&amp;L], trades[Exec Time], "&gt;="&amp;monthly_pl9[[#This Row],[Month]], trades[Exec Time], "&lt;="&amp;EOMONTH(monthly_pl9[[#This Row],[Month]],0), trades[Open P&amp;L], "")</f>
        <v>0</v>
      </c>
      <c r="C34" s="2">
        <f ca="1">SUM($B$4:monthly_pl9[[#This Row],[Gross P&amp;L]])</f>
        <v>3154.232</v>
      </c>
      <c r="D34" s="2"/>
      <c r="E34" s="2"/>
      <c r="F34" s="9"/>
    </row>
    <row r="35" spans="1:6" x14ac:dyDescent="0.25">
      <c r="A35" s="4" t="s">
        <v>12</v>
      </c>
      <c r="B35" s="2">
        <f>SUBTOTAL(109,monthly_pl9[Gross P&amp;L])</f>
        <v>0</v>
      </c>
      <c r="C35" s="2"/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2026-02-03T22:57:43Z</dcterms:modified>
</cp:coreProperties>
</file>