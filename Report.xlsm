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Ex4.xml" ContentType="application/vnd.ms-office.chartex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Undervalued Stock Trade Tracking_Masked\"/>
    </mc:Choice>
  </mc:AlternateContent>
  <xr:revisionPtr revIDLastSave="0" documentId="13_ncr:1_{B73B1CEF-67B3-446B-8073-5F928A6B2E21}" xr6:coauthVersionLast="47" xr6:coauthVersionMax="47" xr10:uidLastSave="{00000000-0000-0000-0000-000000000000}"/>
  <bookViews>
    <workbookView xWindow="28680" yWindow="-120" windowWidth="29040" windowHeight="15720" firstSheet="3" activeTab="3" xr2:uid="{9331F6C7-BBF4-4845-98E6-028529EDACC5}"/>
  </bookViews>
  <sheets>
    <sheet name="Dynamic Path" sheetId="1" state="hidden" r:id="rId1"/>
    <sheet name="value_weight" sheetId="7" state="hidden" r:id="rId2"/>
    <sheet name="undervalued_trades" sheetId="2" state="hidden" r:id="rId3"/>
    <sheet name="Portfolio Summary" sheetId="3" r:id="rId4"/>
    <sheet name="Trades Summary" sheetId="4" r:id="rId5"/>
    <sheet name="Monthly P&amp;L" sheetId="6" r:id="rId6"/>
  </sheets>
  <definedNames>
    <definedName name="_xlchart.v1.0" hidden="1">value_weight!$A$2:$B$67</definedName>
    <definedName name="_xlchart.v1.1" hidden="1">value_weight!$C$2:$C$67</definedName>
    <definedName name="_xlchart.v1.2" hidden="1">value_weight!$H$2:$I$67</definedName>
    <definedName name="_xlchart.v1.3" hidden="1">value_weight!$J$2:$J$67</definedName>
    <definedName name="_xlchart.v1.4" hidden="1">'Monthly P&amp;L'!$A$4:$A$18</definedName>
    <definedName name="_xlchart.v1.5" hidden="1">'Monthly P&amp;L'!$B$4:$B$18</definedName>
    <definedName name="_xlchart.v1.6" hidden="1">'Monthly P&amp;L'!$A$23:$A$34</definedName>
    <definedName name="_xlchart.v1.7" hidden="1">'Monthly P&amp;L'!$B$23:$B$34</definedName>
    <definedName name="_xlcn.WorksheetConnection_Report.xlsmundervalued_trades1" hidden="1">trades[]</definedName>
    <definedName name="ExternalData_1" localSheetId="3" hidden="1">'Portfolio Summary'!$A$4:$G$70</definedName>
    <definedName name="ExternalData_1" localSheetId="2" hidden="1">undervalued_trades!$A$1:$E$137</definedName>
    <definedName name="ExternalData_1" localSheetId="1" hidden="1">value_weight!$A$1:$E$67</definedName>
    <definedName name="ExternalData_2" localSheetId="1" hidden="1">value_weight!$H$1:$L$67</definedName>
  </definedNames>
  <calcPr calcId="191029"/>
  <pivotCaches>
    <pivotCache cacheId="44" r:id="rId7"/>
    <pivotCache cacheId="49" r:id="rId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ndervalued_trades" name="undervalued_trades" connection="WorksheetConnection_Report.xlsm!undervalued_trades"/>
        </x15:modelTables>
        <x15:extLst>
          <ext xmlns:x16="http://schemas.microsoft.com/office/spreadsheetml/2014/11/main" uri="{9835A34E-60A6-4A7C-AAB8-D5F71C897F49}">
            <x16:modelTimeGroupings>
              <x16:modelTimeGrouping tableName="undervalued_trades" columnName="Exec Time" columnId="Exec Time">
                <x16:calculatedTimeColumn columnName="Exec Time (Year)" columnId="Exec Time (Year)" contentType="years" isSelected="1"/>
                <x16:calculatedTimeColumn columnName="Exec Time (Quarter)" columnId="Exec Time (Quarter)" contentType="quarters" isSelected="1"/>
                <x16:calculatedTimeColumn columnName="Exec Time (Month Index)" columnId="Exec Time (Month Index)" contentType="monthsindex" isSelected="1"/>
                <x16:calculatedTimeColumn columnName="Exec Time (Month)" columnId="Exec Time (Month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3" l="1"/>
  <c r="E5" i="3" s="1"/>
  <c r="C6" i="3"/>
  <c r="C7" i="3"/>
  <c r="E7" i="3" s="1"/>
  <c r="C8" i="3"/>
  <c r="C9" i="3"/>
  <c r="E9" i="3" s="1"/>
  <c r="C10" i="3"/>
  <c r="C11" i="3"/>
  <c r="C12" i="3"/>
  <c r="C13" i="3"/>
  <c r="C14" i="3"/>
  <c r="C15" i="3"/>
  <c r="C16" i="3"/>
  <c r="C17" i="3"/>
  <c r="C18" i="3"/>
  <c r="C19" i="3"/>
  <c r="E19" i="3" s="1"/>
  <c r="C20" i="3"/>
  <c r="E20" i="3" s="1"/>
  <c r="C21" i="3"/>
  <c r="E21" i="3" s="1"/>
  <c r="C22" i="3"/>
  <c r="E22" i="3" s="1"/>
  <c r="C23" i="3"/>
  <c r="E23" i="3" s="1"/>
  <c r="C24" i="3"/>
  <c r="E24" i="3" s="1"/>
  <c r="C25" i="3"/>
  <c r="C26" i="3"/>
  <c r="C27" i="3"/>
  <c r="C28" i="3"/>
  <c r="C29" i="3"/>
  <c r="C30" i="3"/>
  <c r="C31" i="3"/>
  <c r="C32" i="3"/>
  <c r="E32" i="3" s="1"/>
  <c r="C33" i="3"/>
  <c r="C34" i="3"/>
  <c r="C35" i="3"/>
  <c r="E35" i="3" s="1"/>
  <c r="C36" i="3"/>
  <c r="E36" i="3" s="1"/>
  <c r="C37" i="3"/>
  <c r="E37" i="3" s="1"/>
  <c r="C38" i="3"/>
  <c r="E38" i="3" s="1"/>
  <c r="C39" i="3"/>
  <c r="E39" i="3" s="1"/>
  <c r="C40" i="3"/>
  <c r="E40" i="3" s="1"/>
  <c r="C41" i="3"/>
  <c r="E41" i="3" s="1"/>
  <c r="C42" i="3"/>
  <c r="E42" i="3" s="1"/>
  <c r="C43" i="3"/>
  <c r="E43" i="3" s="1"/>
  <c r="C44" i="3"/>
  <c r="E44" i="3" s="1"/>
  <c r="C45" i="3"/>
  <c r="E45" i="3" s="1"/>
  <c r="C46" i="3"/>
  <c r="C47" i="3"/>
  <c r="E47" i="3" s="1"/>
  <c r="C48" i="3"/>
  <c r="C49" i="3"/>
  <c r="C50" i="3"/>
  <c r="C51" i="3"/>
  <c r="E51" i="3" s="1"/>
  <c r="C52" i="3"/>
  <c r="E52" i="3" s="1"/>
  <c r="C53" i="3"/>
  <c r="E53" i="3" s="1"/>
  <c r="C54" i="3"/>
  <c r="E54" i="3" s="1"/>
  <c r="C55" i="3"/>
  <c r="E55" i="3" s="1"/>
  <c r="C56" i="3"/>
  <c r="E56" i="3" s="1"/>
  <c r="C57" i="3"/>
  <c r="E57" i="3" s="1"/>
  <c r="C58" i="3"/>
  <c r="E58" i="3" s="1"/>
  <c r="C59" i="3"/>
  <c r="E59" i="3" s="1"/>
  <c r="C60" i="3"/>
  <c r="E60" i="3" s="1"/>
  <c r="C61" i="3"/>
  <c r="E61" i="3" s="1"/>
  <c r="C62" i="3"/>
  <c r="E62" i="3" s="1"/>
  <c r="C63" i="3"/>
  <c r="E63" i="3" s="1"/>
  <c r="C64" i="3"/>
  <c r="E64" i="3" s="1"/>
  <c r="C65" i="3"/>
  <c r="C66" i="3"/>
  <c r="C67" i="3"/>
  <c r="C68" i="3"/>
  <c r="C69" i="3"/>
  <c r="C70" i="3"/>
  <c r="E6" i="3"/>
  <c r="E8" i="3"/>
  <c r="E10" i="3"/>
  <c r="E11" i="3"/>
  <c r="E12" i="3"/>
  <c r="E13" i="3"/>
  <c r="E14" i="3"/>
  <c r="E15" i="3"/>
  <c r="E16" i="3"/>
  <c r="E17" i="3"/>
  <c r="E18" i="3"/>
  <c r="E25" i="3"/>
  <c r="E26" i="3"/>
  <c r="E27" i="3"/>
  <c r="E28" i="3"/>
  <c r="E29" i="3"/>
  <c r="E30" i="3"/>
  <c r="E31" i="3"/>
  <c r="E33" i="3"/>
  <c r="E34" i="3"/>
  <c r="E46" i="3"/>
  <c r="E48" i="3"/>
  <c r="E49" i="3"/>
  <c r="E50" i="3"/>
  <c r="E65" i="3"/>
  <c r="E66" i="3"/>
  <c r="E67" i="3"/>
  <c r="E68" i="3"/>
  <c r="E69" i="3"/>
  <c r="E70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H33" i="2" s="1"/>
  <c r="I33" i="2" s="1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H46" i="2" s="1"/>
  <c r="I46" i="2" s="1"/>
  <c r="F47" i="2"/>
  <c r="F48" i="2"/>
  <c r="F49" i="2"/>
  <c r="F50" i="2"/>
  <c r="F51" i="2"/>
  <c r="F52" i="2"/>
  <c r="H52" i="2" s="1"/>
  <c r="I52" i="2" s="1"/>
  <c r="F53" i="2"/>
  <c r="H53" i="2" s="1"/>
  <c r="I53" i="2" s="1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H66" i="2" s="1"/>
  <c r="I66" i="2" s="1"/>
  <c r="F67" i="2"/>
  <c r="F68" i="2"/>
  <c r="F69" i="2"/>
  <c r="F70" i="2"/>
  <c r="F71" i="2"/>
  <c r="F72" i="2"/>
  <c r="F73" i="2"/>
  <c r="H73" i="2" s="1"/>
  <c r="I73" i="2" s="1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H92" i="2" s="1"/>
  <c r="I92" i="2" s="1"/>
  <c r="F93" i="2"/>
  <c r="H93" i="2" s="1"/>
  <c r="I93" i="2" s="1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H106" i="2" s="1"/>
  <c r="I106" i="2" s="1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H126" i="2" s="1"/>
  <c r="I126" i="2" s="1"/>
  <c r="F127" i="2"/>
  <c r="H127" i="2" s="1"/>
  <c r="I127" i="2" s="1"/>
  <c r="F128" i="2"/>
  <c r="F129" i="2"/>
  <c r="F130" i="2"/>
  <c r="F131" i="2"/>
  <c r="F132" i="2"/>
  <c r="F133" i="2"/>
  <c r="F134" i="2"/>
  <c r="F135" i="2"/>
  <c r="F136" i="2"/>
  <c r="F137" i="2"/>
  <c r="G2" i="2"/>
  <c r="H2" i="2" s="1"/>
  <c r="I2" i="2" s="1"/>
  <c r="G3" i="2"/>
  <c r="H3" i="2" s="1"/>
  <c r="I3" i="2" s="1"/>
  <c r="G4" i="2"/>
  <c r="H4" i="2" s="1"/>
  <c r="I4" i="2" s="1"/>
  <c r="G5" i="2"/>
  <c r="H5" i="2" s="1"/>
  <c r="I5" i="2" s="1"/>
  <c r="G6" i="2"/>
  <c r="G7" i="2"/>
  <c r="G8" i="2"/>
  <c r="H8" i="2" s="1"/>
  <c r="I8" i="2" s="1"/>
  <c r="G9" i="2"/>
  <c r="G10" i="2"/>
  <c r="H10" i="2" s="1"/>
  <c r="I10" i="2" s="1"/>
  <c r="G11" i="2"/>
  <c r="G12" i="2"/>
  <c r="G13" i="2"/>
  <c r="G14" i="2"/>
  <c r="G15" i="2"/>
  <c r="G16" i="2"/>
  <c r="G17" i="2"/>
  <c r="G18" i="2"/>
  <c r="G19" i="2"/>
  <c r="G20" i="2"/>
  <c r="G21" i="2"/>
  <c r="H21" i="2" s="1"/>
  <c r="I21" i="2" s="1"/>
  <c r="G22" i="2"/>
  <c r="H22" i="2" s="1"/>
  <c r="I22" i="2" s="1"/>
  <c r="G23" i="2"/>
  <c r="H23" i="2" s="1"/>
  <c r="I23" i="2" s="1"/>
  <c r="G24" i="2"/>
  <c r="H24" i="2" s="1"/>
  <c r="I24" i="2" s="1"/>
  <c r="G25" i="2"/>
  <c r="H25" i="2" s="1"/>
  <c r="I25" i="2" s="1"/>
  <c r="G26" i="2"/>
  <c r="G27" i="2"/>
  <c r="G28" i="2"/>
  <c r="G29" i="2"/>
  <c r="H29" i="2" s="1"/>
  <c r="I29" i="2" s="1"/>
  <c r="G30" i="2"/>
  <c r="H30" i="2" s="1"/>
  <c r="I30" i="2" s="1"/>
  <c r="G31" i="2"/>
  <c r="G32" i="2"/>
  <c r="G33" i="2"/>
  <c r="G34" i="2"/>
  <c r="G35" i="2"/>
  <c r="G36" i="2"/>
  <c r="G37" i="2"/>
  <c r="G38" i="2"/>
  <c r="G39" i="2"/>
  <c r="G40" i="2"/>
  <c r="G41" i="2"/>
  <c r="H41" i="2" s="1"/>
  <c r="I41" i="2" s="1"/>
  <c r="G42" i="2"/>
  <c r="H42" i="2" s="1"/>
  <c r="I42" i="2" s="1"/>
  <c r="G43" i="2"/>
  <c r="H43" i="2" s="1"/>
  <c r="I43" i="2" s="1"/>
  <c r="G44" i="2"/>
  <c r="H44" i="2" s="1"/>
  <c r="I44" i="2" s="1"/>
  <c r="G45" i="2"/>
  <c r="H45" i="2" s="1"/>
  <c r="I45" i="2" s="1"/>
  <c r="G46" i="2"/>
  <c r="G47" i="2"/>
  <c r="G48" i="2"/>
  <c r="G49" i="2"/>
  <c r="H49" i="2" s="1"/>
  <c r="I49" i="2" s="1"/>
  <c r="G50" i="2"/>
  <c r="H50" i="2" s="1"/>
  <c r="I50" i="2" s="1"/>
  <c r="G51" i="2"/>
  <c r="G52" i="2"/>
  <c r="G53" i="2"/>
  <c r="G54" i="2"/>
  <c r="G55" i="2"/>
  <c r="G56" i="2"/>
  <c r="G57" i="2"/>
  <c r="G58" i="2"/>
  <c r="G59" i="2"/>
  <c r="G60" i="2"/>
  <c r="G61" i="2"/>
  <c r="H61" i="2" s="1"/>
  <c r="I61" i="2" s="1"/>
  <c r="G62" i="2"/>
  <c r="H62" i="2" s="1"/>
  <c r="I62" i="2" s="1"/>
  <c r="G63" i="2"/>
  <c r="H63" i="2" s="1"/>
  <c r="I63" i="2" s="1"/>
  <c r="G64" i="2"/>
  <c r="H64" i="2" s="1"/>
  <c r="I64" i="2" s="1"/>
  <c r="G65" i="2"/>
  <c r="H65" i="2" s="1"/>
  <c r="I65" i="2" s="1"/>
  <c r="G66" i="2"/>
  <c r="G67" i="2"/>
  <c r="H67" i="2" s="1"/>
  <c r="I67" i="2" s="1"/>
  <c r="G68" i="2"/>
  <c r="H68" i="2" s="1"/>
  <c r="I68" i="2" s="1"/>
  <c r="G69" i="2"/>
  <c r="H69" i="2" s="1"/>
  <c r="I69" i="2" s="1"/>
  <c r="G70" i="2"/>
  <c r="H70" i="2" s="1"/>
  <c r="I70" i="2" s="1"/>
  <c r="G71" i="2"/>
  <c r="G72" i="2"/>
  <c r="G73" i="2"/>
  <c r="G74" i="2"/>
  <c r="G75" i="2"/>
  <c r="G76" i="2"/>
  <c r="G77" i="2"/>
  <c r="G78" i="2"/>
  <c r="G79" i="2"/>
  <c r="G80" i="2"/>
  <c r="G81" i="2"/>
  <c r="G82" i="2"/>
  <c r="H82" i="2" s="1"/>
  <c r="I82" i="2" s="1"/>
  <c r="G83" i="2"/>
  <c r="H83" i="2" s="1"/>
  <c r="I83" i="2" s="1"/>
  <c r="G84" i="2"/>
  <c r="H84" i="2" s="1"/>
  <c r="I84" i="2" s="1"/>
  <c r="G85" i="2"/>
  <c r="H85" i="2" s="1"/>
  <c r="I85" i="2" s="1"/>
  <c r="G86" i="2"/>
  <c r="G87" i="2"/>
  <c r="G88" i="2"/>
  <c r="G89" i="2"/>
  <c r="H89" i="2" s="1"/>
  <c r="I89" i="2" s="1"/>
  <c r="G90" i="2"/>
  <c r="H90" i="2" s="1"/>
  <c r="I90" i="2" s="1"/>
  <c r="G91" i="2"/>
  <c r="G92" i="2"/>
  <c r="G93" i="2"/>
  <c r="G94" i="2"/>
  <c r="G95" i="2"/>
  <c r="G96" i="2"/>
  <c r="G97" i="2"/>
  <c r="G98" i="2"/>
  <c r="G99" i="2"/>
  <c r="G100" i="2"/>
  <c r="G101" i="2"/>
  <c r="G102" i="2"/>
  <c r="H102" i="2" s="1"/>
  <c r="I102" i="2" s="1"/>
  <c r="G103" i="2"/>
  <c r="H103" i="2" s="1"/>
  <c r="I103" i="2" s="1"/>
  <c r="G104" i="2"/>
  <c r="H104" i="2" s="1"/>
  <c r="I104" i="2" s="1"/>
  <c r="G105" i="2"/>
  <c r="H105" i="2" s="1"/>
  <c r="I105" i="2" s="1"/>
  <c r="G106" i="2"/>
  <c r="G107" i="2"/>
  <c r="G108" i="2"/>
  <c r="G109" i="2"/>
  <c r="H109" i="2" s="1"/>
  <c r="I109" i="2" s="1"/>
  <c r="G110" i="2"/>
  <c r="H110" i="2" s="1"/>
  <c r="I110" i="2" s="1"/>
  <c r="G111" i="2"/>
  <c r="G112" i="2"/>
  <c r="G113" i="2"/>
  <c r="G114" i="2"/>
  <c r="G115" i="2"/>
  <c r="G116" i="2"/>
  <c r="G117" i="2"/>
  <c r="G118" i="2"/>
  <c r="G119" i="2"/>
  <c r="G120" i="2"/>
  <c r="G121" i="2"/>
  <c r="G122" i="2"/>
  <c r="H122" i="2" s="1"/>
  <c r="I122" i="2" s="1"/>
  <c r="G123" i="2"/>
  <c r="H123" i="2" s="1"/>
  <c r="I123" i="2" s="1"/>
  <c r="G124" i="2"/>
  <c r="H124" i="2" s="1"/>
  <c r="I124" i="2" s="1"/>
  <c r="G125" i="2"/>
  <c r="H125" i="2" s="1"/>
  <c r="I125" i="2" s="1"/>
  <c r="G126" i="2"/>
  <c r="G127" i="2"/>
  <c r="G128" i="2"/>
  <c r="G129" i="2"/>
  <c r="G130" i="2"/>
  <c r="G131" i="2"/>
  <c r="G132" i="2"/>
  <c r="G133" i="2"/>
  <c r="G134" i="2"/>
  <c r="G135" i="2"/>
  <c r="G136" i="2"/>
  <c r="G137" i="2"/>
  <c r="H6" i="2"/>
  <c r="I6" i="2" s="1"/>
  <c r="H7" i="2"/>
  <c r="I7" i="2" s="1"/>
  <c r="H9" i="2"/>
  <c r="I9" i="2" s="1"/>
  <c r="H12" i="2"/>
  <c r="I12" i="2" s="1"/>
  <c r="H26" i="2"/>
  <c r="I26" i="2" s="1"/>
  <c r="H27" i="2"/>
  <c r="I27" i="2" s="1"/>
  <c r="H28" i="2"/>
  <c r="I28" i="2" s="1"/>
  <c r="H86" i="2"/>
  <c r="I86" i="2" s="1"/>
  <c r="H87" i="2"/>
  <c r="I87" i="2" s="1"/>
  <c r="H88" i="2"/>
  <c r="I88" i="2" s="1"/>
  <c r="H107" i="2"/>
  <c r="I107" i="2" s="1"/>
  <c r="H108" i="2"/>
  <c r="I108" i="2" s="1"/>
  <c r="H129" i="2"/>
  <c r="I129" i="2" s="1"/>
  <c r="K2" i="3"/>
  <c r="K1" i="3"/>
  <c r="E1" i="4"/>
  <c r="H39" i="2" l="1"/>
  <c r="I39" i="2" s="1"/>
  <c r="H40" i="2"/>
  <c r="I40" i="2" s="1"/>
  <c r="H19" i="2"/>
  <c r="I19" i="2" s="1"/>
  <c r="H72" i="2"/>
  <c r="I72" i="2" s="1"/>
  <c r="H32" i="2"/>
  <c r="I32" i="2" s="1"/>
  <c r="H128" i="2"/>
  <c r="I128" i="2" s="1"/>
  <c r="H48" i="2"/>
  <c r="I48" i="2" s="1"/>
  <c r="H131" i="2"/>
  <c r="I131" i="2" s="1"/>
  <c r="H111" i="2"/>
  <c r="I111" i="2" s="1"/>
  <c r="H91" i="2"/>
  <c r="I91" i="2" s="1"/>
  <c r="H71" i="2"/>
  <c r="I71" i="2" s="1"/>
  <c r="H51" i="2"/>
  <c r="I51" i="2" s="1"/>
  <c r="H31" i="2"/>
  <c r="I31" i="2" s="1"/>
  <c r="H11" i="2"/>
  <c r="I11" i="2" s="1"/>
  <c r="H47" i="2"/>
  <c r="I47" i="2" s="1"/>
  <c r="H121" i="2"/>
  <c r="I121" i="2" s="1"/>
  <c r="H101" i="2"/>
  <c r="I101" i="2" s="1"/>
  <c r="H81" i="2"/>
  <c r="I81" i="2" s="1"/>
  <c r="H20" i="2"/>
  <c r="I20" i="2" s="1"/>
  <c r="H18" i="2"/>
  <c r="I18" i="2" s="1"/>
  <c r="H38" i="2"/>
  <c r="I38" i="2" s="1"/>
  <c r="H60" i="2"/>
  <c r="I60" i="2" s="1"/>
  <c r="H17" i="2"/>
  <c r="I17" i="2" s="1"/>
  <c r="H100" i="2"/>
  <c r="I100" i="2" s="1"/>
  <c r="H97" i="2"/>
  <c r="I97" i="2" s="1"/>
  <c r="H77" i="2"/>
  <c r="I77" i="2" s="1"/>
  <c r="H57" i="2"/>
  <c r="I57" i="2" s="1"/>
  <c r="H37" i="2"/>
  <c r="I37" i="2" s="1"/>
  <c r="H116" i="2"/>
  <c r="I116" i="2" s="1"/>
  <c r="H76" i="2"/>
  <c r="I76" i="2" s="1"/>
  <c r="H36" i="2"/>
  <c r="I36" i="2" s="1"/>
  <c r="H16" i="2"/>
  <c r="I16" i="2" s="1"/>
  <c r="H132" i="2"/>
  <c r="I132" i="2" s="1"/>
  <c r="H115" i="2"/>
  <c r="I115" i="2" s="1"/>
  <c r="H15" i="2"/>
  <c r="I15" i="2" s="1"/>
  <c r="H78" i="2"/>
  <c r="I78" i="2" s="1"/>
  <c r="H137" i="2"/>
  <c r="I137" i="2" s="1"/>
  <c r="H80" i="2"/>
  <c r="I80" i="2" s="1"/>
  <c r="H99" i="2"/>
  <c r="I99" i="2" s="1"/>
  <c r="H79" i="2"/>
  <c r="I79" i="2" s="1"/>
  <c r="H59" i="2"/>
  <c r="I59" i="2" s="1"/>
  <c r="H117" i="2"/>
  <c r="I117" i="2" s="1"/>
  <c r="H136" i="2"/>
  <c r="I136" i="2" s="1"/>
  <c r="H96" i="2"/>
  <c r="I96" i="2" s="1"/>
  <c r="H56" i="2"/>
  <c r="I56" i="2" s="1"/>
  <c r="H112" i="2"/>
  <c r="I112" i="2" s="1"/>
  <c r="H135" i="2"/>
  <c r="I135" i="2" s="1"/>
  <c r="H95" i="2"/>
  <c r="I95" i="2" s="1"/>
  <c r="H75" i="2"/>
  <c r="I75" i="2" s="1"/>
  <c r="H55" i="2"/>
  <c r="I55" i="2" s="1"/>
  <c r="H35" i="2"/>
  <c r="I35" i="2" s="1"/>
  <c r="H134" i="2"/>
  <c r="I134" i="2" s="1"/>
  <c r="H114" i="2"/>
  <c r="I114" i="2" s="1"/>
  <c r="H94" i="2"/>
  <c r="I94" i="2" s="1"/>
  <c r="H74" i="2"/>
  <c r="I74" i="2" s="1"/>
  <c r="H54" i="2"/>
  <c r="I54" i="2" s="1"/>
  <c r="H34" i="2"/>
  <c r="I34" i="2" s="1"/>
  <c r="H14" i="2"/>
  <c r="I14" i="2" s="1"/>
  <c r="H133" i="2"/>
  <c r="I133" i="2" s="1"/>
  <c r="H113" i="2"/>
  <c r="I113" i="2" s="1"/>
  <c r="H13" i="2"/>
  <c r="I13" i="2" s="1"/>
  <c r="H119" i="2"/>
  <c r="I119" i="2" s="1"/>
  <c r="H98" i="2"/>
  <c r="I98" i="2" s="1"/>
  <c r="H58" i="2"/>
  <c r="I58" i="2" s="1"/>
  <c r="H130" i="2"/>
  <c r="I130" i="2" s="1"/>
  <c r="H118" i="2"/>
  <c r="I118" i="2" s="1"/>
  <c r="H120" i="2"/>
  <c r="I120" i="2" s="1"/>
  <c r="A2" i="3"/>
  <c r="A1" i="3"/>
  <c r="B33" i="6" l="1"/>
  <c r="B32" i="6"/>
  <c r="B31" i="6"/>
  <c r="B30" i="6"/>
  <c r="B29" i="6"/>
  <c r="B28" i="6"/>
  <c r="B27" i="6"/>
  <c r="B26" i="6"/>
  <c r="B25" i="6"/>
  <c r="B24" i="6"/>
  <c r="H1" i="3"/>
  <c r="B6" i="6" l="1"/>
  <c r="B12" i="6"/>
  <c r="B13" i="6"/>
  <c r="B14" i="6"/>
  <c r="B8" i="6"/>
  <c r="B16" i="6"/>
  <c r="B15" i="6"/>
  <c r="B11" i="6"/>
  <c r="B10" i="6"/>
  <c r="B9" i="6"/>
  <c r="B4" i="6"/>
  <c r="B5" i="6"/>
  <c r="B7" i="6"/>
  <c r="E1" i="3"/>
  <c r="B34" i="6"/>
  <c r="N1" i="3"/>
  <c r="B23" i="6" l="1"/>
  <c r="B35" i="6" s="1"/>
  <c r="B17" i="6"/>
  <c r="B18" i="6"/>
  <c r="B1" i="4"/>
  <c r="B2" i="4"/>
  <c r="A2" i="1" a="1"/>
  <c r="A2" i="1" s="1"/>
  <c r="C4" i="6" l="1"/>
  <c r="E2" i="3" l="1"/>
  <c r="C5" i="6"/>
  <c r="C6" i="6"/>
  <c r="C17" i="6"/>
  <c r="C18" i="6"/>
  <c r="C8" i="6"/>
  <c r="C15" i="6"/>
  <c r="C9" i="6"/>
  <c r="C7" i="6"/>
  <c r="C10" i="6"/>
  <c r="C12" i="6"/>
  <c r="C14" i="6"/>
  <c r="C13" i="6"/>
  <c r="B19" i="6"/>
  <c r="C11" i="6"/>
  <c r="C16" i="6"/>
  <c r="H2" i="3"/>
  <c r="C24" i="6" l="1"/>
  <c r="C33" i="6"/>
  <c r="C23" i="6"/>
  <c r="C32" i="6"/>
  <c r="C31" i="6"/>
  <c r="C28" i="6"/>
  <c r="C27" i="6"/>
  <c r="C26" i="6"/>
  <c r="C30" i="6"/>
  <c r="C29" i="6"/>
  <c r="C25" i="6"/>
  <c r="C34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9276A8-29EE-4767-82F8-743A81683128}" keepAlive="1" name="Query - investment_weight" description="Connection to the 'investment_weight' query in the workbook." type="5" refreshedVersion="8" background="1" saveData="1">
    <dbPr connection="Provider=Microsoft.Mashup.OleDb.1;Data Source=$Workbook$;Location=investment_weight;Extended Properties=&quot;&quot;" command="SELECT * FROM [investment_weight]"/>
  </connection>
  <connection id="2" xr16:uid="{0A4FB849-2C72-400D-84A9-AAEBA9046401}" keepAlive="1" name="Query - open_pl_weight" description="Connection to the 'open_pl_weight' query in the workbook." type="5" refreshedVersion="8" background="1" saveData="1">
    <dbPr connection="Provider=Microsoft.Mashup.OleDb.1;Data Source=$Workbook$;Location=open_pl_weight;Extended Properties=&quot;&quot;" command="SELECT * FROM [open_pl_weight]"/>
  </connection>
  <connection id="3" xr16:uid="{9B80E1EE-6397-4BD2-9394-7938C7BBA37F}" keepAlive="1" name="Query - stocks" description="Connection to the 'stocks' query in the workbook." type="5" refreshedVersion="8" background="1" saveData="1">
    <dbPr connection="Provider=Microsoft.Mashup.OleDb.1;Data Source=$Workbook$;Location=stocks;Extended Properties=&quot;&quot;" command="SELECT * FROM [stocks]"/>
  </connection>
  <connection id="4" xr16:uid="{065A56C2-AA45-49DA-8575-3A949D4C49B4}" keepAlive="1" name="Query - trades" description="Connection to the 'trades' query in the workbook." type="5" refreshedVersion="8" background="1" saveData="1">
    <dbPr connection="Provider=Microsoft.Mashup.OleDb.1;Data Source=$Workbook$;Location=trades;Extended Properties=&quot;&quot;" command="SELECT * FROM [trades]"/>
  </connection>
  <connection id="5" xr16:uid="{98455E7A-BB45-4CFC-BB99-21AFACCFD339}" keepAlive="1" name="Query - undervalued_stocks (2)(1)" description="Connection to the 'undervalued_stocks (2)' query in the workbook." type="5" refreshedVersion="0" background="1" saveData="1">
    <dbPr connection="Provider=Microsoft.Mashup.OleDb.1;Data Source=$Workbook$;Location=&quot;undervalued_stocks (2)&quot;;Extended Properties=&quot;&quot;" command="SELECT * FROM [undervalued_stocks (2)]"/>
  </connection>
  <connection id="6" xr16:uid="{EAE9A134-27FC-4BF0-A0F0-8A7759C92812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7" xr16:uid="{BA0B25E9-19F3-41E7-8E6A-613C0BB119BA}" name="WorksheetConnection_Report.xlsm!undervalued_trades" type="102" refreshedVersion="8" minRefreshableVersion="5">
    <extLst>
      <ext xmlns:x15="http://schemas.microsoft.com/office/spreadsheetml/2010/11/main" uri="{DE250136-89BD-433C-8126-D09CA5730AF9}">
        <x15:connection id="undervalued_trades" autoDelete="1">
          <x15:rangePr sourceName="_xlcn.WorksheetConnection_Report.xlsmundervalued_trades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<sst xmlns="http://schemas.openxmlformats.org/spreadsheetml/2006/main" count="601" uniqueCount="115">
  <si>
    <t>Path</t>
  </si>
  <si>
    <t>Exec Time</t>
  </si>
  <si>
    <t>Symbol</t>
  </si>
  <si>
    <t>Qty</t>
  </si>
  <si>
    <t>Price</t>
  </si>
  <si>
    <t>Avg Price</t>
  </si>
  <si>
    <t>Row Labels</t>
  </si>
  <si>
    <t>Current Price</t>
  </si>
  <si>
    <t>Open P&amp;L</t>
  </si>
  <si>
    <t>Realized  P&amp;L</t>
  </si>
  <si>
    <t>Month</t>
  </si>
  <si>
    <t>Gross P&amp;L</t>
  </si>
  <si>
    <t>Total</t>
  </si>
  <si>
    <t>Open ROI</t>
  </si>
  <si>
    <t>Realized ROI</t>
  </si>
  <si>
    <t>Cumulative P&amp;L</t>
  </si>
  <si>
    <t>Total Qty</t>
  </si>
  <si>
    <t>Realized P&amp;L</t>
  </si>
  <si>
    <t>Label</t>
  </si>
  <si>
    <t>Winning</t>
  </si>
  <si>
    <t>Losing</t>
  </si>
  <si>
    <t>Stock Count</t>
  </si>
  <si>
    <t>Trade Count</t>
  </si>
  <si>
    <t>2025</t>
  </si>
  <si>
    <t>Grand Total</t>
  </si>
  <si>
    <t>Average Price</t>
  </si>
  <si>
    <t>Realized  PL</t>
  </si>
  <si>
    <t>Investment Weight</t>
  </si>
  <si>
    <t>Current Investment</t>
  </si>
  <si>
    <t>Open P&amp;L Weight</t>
  </si>
  <si>
    <t>Portfolio's Value</t>
  </si>
  <si>
    <t>Current Qty</t>
  </si>
  <si>
    <t>Breakeven</t>
  </si>
  <si>
    <t>Open PL</t>
  </si>
  <si>
    <t>Max Trade Price</t>
  </si>
  <si>
    <t>ABEV</t>
  </si>
  <si>
    <t>ACLS</t>
  </si>
  <si>
    <t>ACN</t>
  </si>
  <si>
    <t>AEO</t>
  </si>
  <si>
    <t>AMTD</t>
  </si>
  <si>
    <t>ASO</t>
  </si>
  <si>
    <t>ATKR</t>
  </si>
  <si>
    <t>AZN</t>
  </si>
  <si>
    <t>BTU</t>
  </si>
  <si>
    <t>BYD</t>
  </si>
  <si>
    <t>CCRN</t>
  </si>
  <si>
    <t>CHA</t>
  </si>
  <si>
    <t>CHRD</t>
  </si>
  <si>
    <t>CIVI</t>
  </si>
  <si>
    <t>CNR</t>
  </si>
  <si>
    <t>COP</t>
  </si>
  <si>
    <t>CRUS</t>
  </si>
  <si>
    <t>CTSH</t>
  </si>
  <si>
    <t>CVE</t>
  </si>
  <si>
    <t>DDI</t>
  </si>
  <si>
    <t>DOX</t>
  </si>
  <si>
    <t>FHI</t>
  </si>
  <si>
    <t>FINV</t>
  </si>
  <si>
    <t>G</t>
  </si>
  <si>
    <t>GIB</t>
  </si>
  <si>
    <t>GIII</t>
  </si>
  <si>
    <t>GMAB</t>
  </si>
  <si>
    <t>GSL</t>
  </si>
  <si>
    <t>HAFN</t>
  </si>
  <si>
    <t>HG</t>
  </si>
  <si>
    <t>HNI</t>
  </si>
  <si>
    <t>KOF</t>
  </si>
  <si>
    <t>LX</t>
  </si>
  <si>
    <t>MAT</t>
  </si>
  <si>
    <t>MOMO</t>
  </si>
  <si>
    <t>NMIH</t>
  </si>
  <si>
    <t>NXT</t>
  </si>
  <si>
    <t>ON</t>
  </si>
  <si>
    <t>OVV</t>
  </si>
  <si>
    <t>PDD</t>
  </si>
  <si>
    <t>PDS</t>
  </si>
  <si>
    <t>PHM</t>
  </si>
  <si>
    <t>RAL</t>
  </si>
  <si>
    <t>RWAY</t>
  </si>
  <si>
    <t>SCVL</t>
  </si>
  <si>
    <t>SFD</t>
  </si>
  <si>
    <t>SGU</t>
  </si>
  <si>
    <t>SITC</t>
  </si>
  <si>
    <t>SQM</t>
  </si>
  <si>
    <t>STNG</t>
  </si>
  <si>
    <t>SU</t>
  </si>
  <si>
    <t>TGNA</t>
  </si>
  <si>
    <t>TGT</t>
  </si>
  <si>
    <t>TMHC</t>
  </si>
  <si>
    <t>TPVG</t>
  </si>
  <si>
    <t>TTE</t>
  </si>
  <si>
    <t>VCTR</t>
  </si>
  <si>
    <t>VICI</t>
  </si>
  <si>
    <t>VIPS</t>
  </si>
  <si>
    <t>WIT</t>
  </si>
  <si>
    <t>XYF</t>
  </si>
  <si>
    <t>YALA</t>
  </si>
  <si>
    <t>YRD</t>
  </si>
  <si>
    <t>YUMC</t>
  </si>
  <si>
    <t>ZM</t>
  </si>
  <si>
    <t>2024</t>
  </si>
  <si>
    <r>
      <rPr>
        <b/>
        <sz val="11"/>
        <color theme="1"/>
        <rFont val="Aptos Narrow"/>
        <family val="2"/>
        <scheme val="minor"/>
      </rPr>
      <t>Open P&amp;L Weight</t>
    </r>
    <r>
      <rPr>
        <sz val="11"/>
        <color theme="1"/>
        <rFont val="Aptos Narrow"/>
        <family val="2"/>
        <scheme val="minor"/>
      </rPr>
      <t xml:space="preserve">: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
</t>
    </r>
    <r>
      <rPr>
        <sz val="11"/>
        <color rgb="FFC00000"/>
        <rFont val="Aptos Narrow"/>
        <family val="2"/>
        <scheme val="minor"/>
      </rPr>
      <t>Open P&amp;L Weight = |Stock's Open P&amp;L| / (Total Open Profit + |Total Open Loss|)</t>
    </r>
  </si>
  <si>
    <t xml:space="preserve"> </t>
  </si>
  <si>
    <t>Each percentage value shows how much a stock's P&amp;L (absolute value) contributes to the portfolio's performance (the combined magnitude of the winning and losing positions). A higher percentage suggests that this stock has a larger influence on the overall performance, which could mean higher reward or risk, depending on whether it's a winner or loser. To see the calculation, unhide the value_weight sheet.</t>
  </si>
  <si>
    <t>Current Capital</t>
  </si>
  <si>
    <t>Total Capital</t>
  </si>
  <si>
    <t>Capital or Gain</t>
  </si>
  <si>
    <t>Capital &amp; Gain</t>
  </si>
  <si>
    <t>Capital or P&amp;L</t>
  </si>
  <si>
    <r>
      <rPr>
        <b/>
        <sz val="11"/>
        <color theme="1"/>
        <rFont val="Aptos Narrow"/>
        <family val="2"/>
        <scheme val="minor"/>
      </rPr>
      <t>Investment Weight:</t>
    </r>
    <r>
      <rPr>
        <sz val="11"/>
        <color theme="1"/>
        <rFont val="Aptos Narrow"/>
        <family val="2"/>
        <scheme val="minor"/>
      </rPr>
      <t xml:space="preserve"> Refers to how much of the portfolio's current capital is allocated to each active stock. A higher investment weight means a higher exposure to that stock’s performance.
</t>
    </r>
    <r>
      <rPr>
        <sz val="11"/>
        <color rgb="FFC00000"/>
        <rFont val="Aptos Narrow"/>
        <family val="2"/>
        <scheme val="minor"/>
      </rPr>
      <t>Investment Weight = |Investment in Active Stock| / |Total Portfolio's Current Capital|</t>
    </r>
  </si>
  <si>
    <t>Each percentage value refers to how much of the portfolio's current capital is allocated to each active stock. A higher investment weight means a higher exposure to that stock’s performance. To see the calculation, unhide the "value_weight" sheet.</t>
  </si>
  <si>
    <t>MSFT</t>
  </si>
  <si>
    <t>Jan</t>
  </si>
  <si>
    <t>Oct</t>
  </si>
  <si>
    <t>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</si>
</sst>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\-yyyy"/>
    <numFmt numFmtId="165" formatCode="&quot;$&quot;\ #,##0.00"/>
    <numFmt numFmtId="166" formatCode="0.0%"/>
  </numFmts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 tint="0.499984740745262"/>
      <name val="Aptos Narrow"/>
      <family val="2"/>
      <scheme val="minor"/>
    </font>
    <font>
      <sz val="11"/>
      <color rgb="FFC00000"/>
      <name val="Aptos Narrow"/>
      <family val="2"/>
      <scheme val="minor"/>
    </font>
    <font>
      <sz val="1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4">
    <xf numFmtId="0" fontId="0" fillId="0" borderId="0" xfId="0"/>
    <xf numFmtId="22" fontId="0" fillId="0" borderId="0" xfId="0" applyNumberFormat="1"/>
    <xf numFmtId="2" fontId="0" fillId="0" borderId="0" xfId="0" applyNumberFormat="1"/>
    <xf numFmtId="0" fontId="0" fillId="0" borderId="1" xfId="0" applyBorder="1" applyAlignment="1">
      <alignment horizontal="left"/>
    </xf>
    <xf numFmtId="0" fontId="3" fillId="0" borderId="0" xfId="0" applyFont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2" applyFont="1"/>
    <xf numFmtId="164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pivotButton="1"/>
    <xf numFmtId="4" fontId="0" fillId="0" borderId="0" xfId="0" applyNumberFormat="1"/>
    <xf numFmtId="0" fontId="0" fillId="2" borderId="3" xfId="0" applyFill="1" applyBorder="1" applyAlignment="1">
      <alignment horizontal="center"/>
    </xf>
    <xf numFmtId="0" fontId="0" fillId="2" borderId="2" xfId="0" applyFill="1" applyBorder="1"/>
    <xf numFmtId="43" fontId="0" fillId="2" borderId="3" xfId="1" applyNumberFormat="1" applyFont="1" applyFill="1" applyBorder="1" applyAlignment="1">
      <alignment horizontal="center"/>
    </xf>
    <xf numFmtId="2" fontId="0" fillId="2" borderId="2" xfId="0" applyNumberFormat="1" applyFill="1" applyBorder="1"/>
    <xf numFmtId="166" fontId="0" fillId="0" borderId="0" xfId="2" applyNumberFormat="1" applyFont="1"/>
    <xf numFmtId="1" fontId="0" fillId="0" borderId="0" xfId="0" applyNumberFormat="1"/>
    <xf numFmtId="2" fontId="0" fillId="0" borderId="0" xfId="0" applyNumberFormat="1" applyAlignment="1">
      <alignment horizontal="center"/>
    </xf>
    <xf numFmtId="10" fontId="0" fillId="0" borderId="0" xfId="2" applyNumberFormat="1" applyFont="1" applyFill="1" applyBorder="1" applyAlignment="1">
      <alignment horizontal="center"/>
    </xf>
    <xf numFmtId="10" fontId="0" fillId="2" borderId="3" xfId="2" applyNumberFormat="1" applyFont="1" applyFill="1" applyBorder="1" applyAlignment="1">
      <alignment horizontal="center"/>
    </xf>
    <xf numFmtId="4" fontId="0" fillId="2" borderId="3" xfId="0" applyNumberFormat="1" applyFill="1" applyBorder="1" applyAlignment="1">
      <alignment horizontal="center"/>
    </xf>
    <xf numFmtId="4" fontId="0" fillId="0" borderId="1" xfId="0" applyNumberFormat="1" applyBorder="1"/>
    <xf numFmtId="3" fontId="0" fillId="0" borderId="1" xfId="0" applyNumberFormat="1" applyBorder="1"/>
    <xf numFmtId="165" fontId="0" fillId="0" borderId="0" xfId="0" applyNumberFormat="1" applyAlignment="1">
      <alignment vertical="center"/>
    </xf>
    <xf numFmtId="0" fontId="4" fillId="0" borderId="0" xfId="0" applyFont="1" applyAlignment="1">
      <alignment horizontal="left" vertical="center"/>
    </xf>
    <xf numFmtId="4" fontId="0" fillId="0" borderId="4" xfId="0" applyNumberFormat="1" applyBorder="1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horizontal="left" indent="1"/>
    </xf>
    <xf numFmtId="0" fontId="0" fillId="0" borderId="1" xfId="0" applyBorder="1" applyAlignment="1">
      <alignment horizontal="left" indent="2"/>
    </xf>
    <xf numFmtId="22" fontId="0" fillId="0" borderId="1" xfId="0" applyNumberFormat="1" applyBorder="1" applyAlignment="1">
      <alignment horizontal="left" indent="3"/>
    </xf>
    <xf numFmtId="4" fontId="0" fillId="0" borderId="13" xfId="0" applyNumberFormat="1" applyBorder="1"/>
    <xf numFmtId="0" fontId="0" fillId="0" borderId="5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12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0" fillId="2" borderId="2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0" fontId="6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165" fontId="0" fillId="2" borderId="6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left" vertical="center" wrapText="1"/>
    </xf>
    <xf numFmtId="0" fontId="0" fillId="2" borderId="7" xfId="0" applyFill="1" applyBorder="1" applyAlignment="1">
      <alignment horizontal="left" vertical="center" wrapText="1"/>
    </xf>
    <xf numFmtId="0" fontId="0" fillId="0" borderId="0" xfId="0" applyNumberFormat="1"/>
  </cellXfs>
  <cellStyles count="3">
    <cellStyle name="Currency" xfId="1" builtinId="4"/>
    <cellStyle name="Normal" xfId="0" builtinId="0"/>
    <cellStyle name="Percent" xfId="2" builtinId="5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27" formatCode="m/d/yyyy\ h:mm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64" formatCode="mmm\-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numFmt numFmtId="4" formatCode="#,##0.00"/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2.56</v>
        <stp/>
        <stp>LAST</stp>
        <stp>WIT</stp>
        <tr r="C65" s="3"/>
        <tr r="G123" s="2"/>
        <tr r="G124" s="2"/>
        <tr r="G122" s="2"/>
      </tp>
      <tp>
        <v>74.42</v>
        <stp/>
        <stp>LAST</stp>
        <stp>TTE</stp>
        <tr r="C61" s="3"/>
        <tr r="G114" s="2"/>
      </tp>
      <tp>
        <v>111.3</v>
        <stp/>
        <stp>LAST</stp>
        <stp>TGT</stp>
        <tr r="C58" s="3"/>
        <tr r="G108" s="2"/>
      </tp>
      <tp>
        <v>54.73</v>
        <stp/>
        <stp>LAST</stp>
        <stp>RAL</stp>
        <tr r="C48" s="3"/>
        <tr r="G86" s="2"/>
      </tp>
      <tp>
        <v>79.3</v>
        <stp/>
        <stp>LAST</stp>
        <stp>SQM</stp>
        <tr r="C54" s="3"/>
        <tr r="G97" s="2"/>
      </tp>
      <tp>
        <v>24.1</v>
        <stp/>
        <stp>LAST</stp>
        <stp>SFD</stp>
        <tr r="C51" s="3"/>
        <tr r="G94" s="2"/>
      </tp>
      <tp>
        <v>13</v>
        <stp/>
        <stp>LAST</stp>
        <stp>SGU</stp>
        <tr r="C52" s="3"/>
        <tr r="G95" s="2"/>
      </tp>
      <tp>
        <v>130.46</v>
        <stp/>
        <stp>LAST</stp>
        <stp>PHM</stp>
        <tr r="C47" s="3"/>
        <tr r="G84" s="2"/>
        <tr r="G85" s="2"/>
      </tp>
      <tp>
        <v>81.849999999999994</v>
        <stp/>
        <stp>LAST</stp>
        <stp>PDS</stp>
        <tr r="C46" s="3"/>
        <tr r="G83" s="2"/>
        <tr r="G82" s="2"/>
      </tp>
      <tp>
        <v>103.32</v>
        <stp/>
        <stp>LAST</stp>
        <stp>PDD</stp>
        <tr r="G80" s="2"/>
        <tr r="G81" s="2"/>
        <tr r="C45" s="3"/>
      </tp>
      <tp>
        <v>5.15</v>
        <stp/>
        <stp>LAST</stp>
        <stp>XYF</stp>
        <tr r="C66" s="3"/>
        <tr r="G125" s="2"/>
        <tr r="G128" s="2"/>
        <tr r="G127" s="2"/>
        <tr r="G129" s="2"/>
        <tr r="G126" s="2"/>
      </tp>
      <tp>
        <v>3.83</v>
        <stp/>
        <stp>LAST</stp>
        <stp>YRD</stp>
        <tr r="C68" s="3"/>
        <tr r="G132" s="2"/>
        <tr r="G131" s="2"/>
      </tp>
      <tp>
        <v>52.8</v>
        <stp/>
        <stp>LAST</stp>
        <stp>FHI</stp>
        <tr r="C26" s="3"/>
        <tr r="G36" s="2"/>
      </tp>
      <tp>
        <v>37.39</v>
        <stp/>
        <stp>LAST</stp>
        <stp>GSL</stp>
        <tr r="C32" s="3"/>
        <tr r="G52" s="2"/>
        <tr r="G51" s="2"/>
      </tp>
      <tp>
        <v>79.650000000000006</v>
        <stp/>
        <stp>LAST</stp>
        <stp>GIB</stp>
        <tr r="C29" s="3"/>
        <tr r="G41" s="2"/>
        <tr r="G40" s="2"/>
        <tr r="G43" s="2"/>
        <tr r="G42" s="2"/>
      </tp>
      <tp>
        <v>74.02</v>
        <stp/>
        <stp>LAST</stp>
        <stp>DOX</stp>
        <tr r="C25" s="3"/>
        <tr r="G34" s="2"/>
        <tr r="G35" s="2"/>
      </tp>
      <tp>
        <v>8.57</v>
        <stp/>
        <stp>LAST</stp>
        <stp>DDI</stp>
        <tr r="C24" s="3"/>
        <tr r="G33" s="2"/>
      </tp>
      <tp>
        <v>83</v>
        <stp/>
        <stp>LAST</stp>
        <stp>BYD</stp>
        <tr r="C14" s="3"/>
        <tr r="G17" s="2"/>
      </tp>
      <tp>
        <v>35.229999999999997</v>
        <stp/>
        <stp>LAST</stp>
        <stp>BTU</stp>
        <tr r="C13" s="3"/>
        <tr r="G16" s="2"/>
        <tr r="G15" s="2"/>
      </tp>
      <tp>
        <v>19.95</v>
        <stp/>
        <stp>LAST</stp>
        <stp>CVE</stp>
        <tr r="C23" s="3"/>
        <tr r="G32" s="2"/>
      </tp>
      <tp>
        <v>11.04</v>
        <stp/>
        <stp>LAST</stp>
        <stp>CHA</stp>
        <tr r="C16" s="3"/>
        <tr r="G20" s="2"/>
      </tp>
      <tp>
        <v>90.76</v>
        <stp/>
        <stp>LAST</stp>
        <stp>CNR</stp>
        <tr r="C19" s="3"/>
        <tr r="G24" s="2"/>
      </tp>
      <tp>
        <v>104.91</v>
        <stp/>
        <stp>LAST</stp>
        <stp>COP</stp>
        <tr r="G25" s="2"/>
        <tr r="C20" s="3"/>
      </tp>
      <tp>
        <v>184.32</v>
        <stp/>
        <stp>LAST</stp>
        <stp>AZN</stp>
        <tr r="C12" s="3"/>
        <tr r="G14" s="2"/>
      </tp>
      <tp>
        <v>59.06</v>
        <stp/>
        <stp>LAST</stp>
        <stp>ASO</stp>
        <tr r="C10" s="3"/>
        <tr r="G10" s="2"/>
      </tp>
      <tp>
        <v>241.21</v>
        <stp/>
        <stp>LAST</stp>
        <stp>ACN</stp>
        <tr r="C7" s="3"/>
        <tr r="G7" s="2"/>
      </tp>
      <tp>
        <v>24.02</v>
        <stp/>
        <stp>LAST</stp>
        <stp>AEO</stp>
        <tr r="G8" s="2"/>
        <tr r="C8" s="3"/>
      </tp>
      <tp>
        <v>119.85</v>
        <stp/>
        <stp>LAST</stp>
        <stp>NXT</stp>
        <tr r="C42" s="3"/>
        <tr r="G75" s="2"/>
      </tp>
      <tp>
        <v>44.11</v>
        <stp/>
        <stp>LAST</stp>
        <stp>OVV</stp>
        <tr r="C44" s="3"/>
        <tr r="G79" s="2"/>
        <tr r="G78" s="2"/>
      </tp>
      <tp>
        <v>21.19</v>
        <stp/>
        <stp>LAST</stp>
        <stp>MAT</stp>
        <tr r="C38" s="3"/>
        <tr r="G65" s="2"/>
      </tp>
      <tp>
        <v>107.86</v>
        <stp/>
        <stp>LAST</stp>
        <stp>KOF</stp>
        <tr r="C36" s="3"/>
        <tr r="G63" s="2"/>
      </tp>
      <tp>
        <v>48.87</v>
        <stp/>
        <stp>LAST</stp>
        <stp>HNI</stp>
        <tr r="C35" s="3"/>
        <tr r="G62" s="2"/>
      </tp>
      <tp>
        <v>124.58</v>
        <stp/>
        <stp>LAST</stp>
        <stp>CRUS</stp>
        <tr r="C21" s="3"/>
        <tr r="G26" s="2"/>
      </tp>
      <tp>
        <v>411.21</v>
        <stp/>
        <stp>LAST</stp>
        <stp>MSFT</stp>
        <tr r="C40" s="3"/>
        <tr r="G72" s="2"/>
        <tr r="G71" s="2"/>
      </tp>
      <tp>
        <v>5.78</v>
        <stp/>
        <stp>LAST</stp>
        <stp>TPVG</stp>
        <tr r="C60" s="3"/>
        <tr r="G113" s="2"/>
        <tr r="G112" s="2"/>
      </tp>
      <tp>
        <v>8.9600000000000009</v>
        <stp/>
        <stp>LAST</stp>
        <stp>RWAY</stp>
        <tr r="C49" s="3"/>
        <tr r="G88" s="2"/>
        <tr r="G87" s="2"/>
        <tr r="G90" s="2"/>
        <tr r="G89" s="2"/>
      </tp>
      <tp>
        <v>74.5</v>
        <stp/>
        <stp>LAST</stp>
        <stp>CTSH</stp>
        <tr r="C22" s="3"/>
        <tr r="G31" s="2"/>
        <tr r="G29" s="2"/>
        <tr r="G30" s="2"/>
        <tr r="G28" s="2"/>
        <tr r="G27" s="2"/>
      </tp>
      <tp>
        <v>64.97</v>
        <stp/>
        <stp>LAST</stp>
        <stp>STNG</stp>
        <tr r="C55" s="3"/>
        <tr r="G98" s="2"/>
      </tp>
      <tp>
        <v>69.89</v>
        <stp/>
        <stp>LAST</stp>
        <stp>ATKR</stp>
        <tr r="C11" s="3"/>
        <tr r="G13" s="2"/>
        <tr r="G12" s="2"/>
        <tr r="G11" s="2"/>
      </tp>
      <tp>
        <v>50.74</v>
        <stp/>
        <stp>LAST</stp>
        <stp>YUMC</stp>
        <tr r="C69" s="3"/>
        <tr r="G134" s="2"/>
        <tr r="G133" s="2"/>
      </tp>
      <tp>
        <v>97.42</v>
        <stp/>
        <stp>LAST</stp>
        <stp>CHRD</stp>
        <tr r="C17" s="3"/>
        <tr r="G22" s="2"/>
        <tr r="G21" s="2"/>
      </tp>
      <tp>
        <v>27.38</v>
        <stp/>
        <stp>LAST</stp>
        <stp>CIVI</stp>
        <tr r="C18" s="3"/>
        <tr r="G23" s="2"/>
      </tp>
      <tp>
        <v>6.28</v>
        <stp/>
        <stp>LAST</stp>
        <stp>SITC</stp>
        <tr r="C53" s="3"/>
        <tr r="G96" s="2"/>
      </tp>
      <tp>
        <v>17.170000000000002</v>
        <stp/>
        <stp>LAST</stp>
        <stp>VIPS</stp>
        <tr r="C64" s="3"/>
        <tr r="G120" s="2"/>
        <tr r="G119" s="2"/>
        <tr r="G121" s="2"/>
      </tp>
      <tp>
        <v>28.05</v>
        <stp/>
        <stp>LAST</stp>
        <stp>VICI</stp>
        <tr r="C63" s="3"/>
        <tr r="G117" s="2"/>
        <tr r="G116" s="2"/>
        <tr r="G118" s="2"/>
      </tp>
      <tp>
        <v>5.0199999999999996</v>
        <stp/>
        <stp>LAST</stp>
        <stp>FINV</stp>
        <tr r="C27" s="3"/>
        <tr r="G38" s="2"/>
        <tr r="G37" s="2"/>
      </tp>
      <tp>
        <v>30</v>
        <stp/>
        <stp>LAST</stp>
        <stp>GIII</stp>
        <tr r="C30" s="3"/>
        <tr r="G45" s="2"/>
        <tr r="G44" s="2"/>
        <tr r="G47" s="2"/>
        <tr r="G48" s="2"/>
        <tr r="G46" s="2"/>
      </tp>
      <tp>
        <v>6.49</v>
        <stp/>
        <stp>LAST</stp>
        <stp>MOMO</stp>
        <tr r="C39" s="3"/>
        <tr r="G70" s="2"/>
        <tr r="G69" s="2"/>
        <tr r="G68" s="2"/>
        <tr r="G67" s="2"/>
        <tr r="G66" s="2"/>
      </tp>
      <tp>
        <v>0.99504999999999999</v>
        <stp/>
        <stp>LAST</stp>
        <stp>AMTD</stp>
        <tr r="C9" s="3"/>
        <tr r="G9" s="2"/>
      </tp>
      <tp>
        <v>33.03</v>
        <stp/>
        <stp>LAST</stp>
        <stp>GMAB</stp>
        <tr r="C31" s="3"/>
        <tr r="G50" s="2"/>
        <tr r="G49" s="2"/>
      </tp>
      <tp>
        <v>63.57</v>
        <stp/>
        <stp>LAST</stp>
        <stp>TMHC</stp>
        <tr r="C59" s="3"/>
        <tr r="G111" s="2"/>
        <tr r="G109" s="2"/>
        <tr r="G110" s="2"/>
      </tp>
      <tp>
        <v>38.72</v>
        <stp/>
        <stp>LAST</stp>
        <stp>NMIH</stp>
        <tr r="C41" s="3"/>
        <tr r="G74" s="2"/>
        <tr r="G73" s="2"/>
      </tp>
      <tp>
        <v>2.9</v>
        <stp/>
        <stp>LAST</stp>
        <stp>ABEV</stp>
        <tr r="C5" s="3"/>
        <tr r="G3" s="2"/>
        <tr r="G2" s="2"/>
        <tr r="G5" s="2"/>
        <tr r="G4" s="2"/>
      </tp>
      <tp>
        <v>19.73</v>
        <stp/>
        <stp>LAST</stp>
        <stp>SCVL</stp>
        <tr r="C50" s="3"/>
        <tr r="G93" s="2"/>
        <tr r="G92" s="2"/>
        <tr r="G91" s="2"/>
      </tp>
      <tp>
        <v>69</v>
        <stp/>
        <stp>LAST</stp>
        <stp>VCTR</stp>
        <tr r="C62" s="3"/>
        <tr r="G115" s="2"/>
      </tp>
      <tp>
        <v>9</v>
        <stp/>
        <stp>LAST</stp>
        <stp>CCRN</stp>
        <tr r="C15" s="3"/>
        <tr r="G19" s="2"/>
        <tr r="G18" s="2"/>
      </tp>
      <tp>
        <v>84.37</v>
        <stp/>
        <stp>LAST</stp>
        <stp>ACLS</stp>
        <tr r="C6" s="3"/>
        <tr r="G6" s="2"/>
      </tp>
      <tp>
        <v>6.2</v>
        <stp/>
        <stp>LAST</stp>
        <stp>HAFN</stp>
        <tr r="C33" s="3"/>
        <tr r="G58" s="2"/>
        <tr r="G54" s="2"/>
        <tr r="G53" s="2"/>
        <tr r="G57" s="2"/>
        <tr r="G56" s="2"/>
        <tr r="G55" s="2"/>
      </tp>
      <tp>
        <v>6.87</v>
        <stp/>
        <stp>LAST</stp>
        <stp>YALA</stp>
        <tr r="C67" s="3"/>
        <tr r="G130" s="2"/>
      </tp>
      <tp>
        <v>18.809999999999999</v>
        <stp/>
        <stp>LAST</stp>
        <stp>TGNA</stp>
        <tr r="C57" s="3"/>
        <tr r="G104" s="2"/>
        <tr r="G102" s="2"/>
        <tr r="G101" s="2"/>
        <tr r="G107" s="2"/>
        <tr r="G105" s="2"/>
        <tr r="G103" s="2"/>
        <tr r="G106" s="2"/>
      </tp>
      <tp>
        <v>53.46</v>
        <stp/>
        <stp>LAST</stp>
        <stp>SU</stp>
        <tr r="C56" s="3"/>
        <tr r="G100" s="2"/>
        <tr r="G99" s="2"/>
      </tp>
      <tp>
        <v>88.73</v>
        <stp/>
        <stp>LAST</stp>
        <stp>ZM</stp>
        <tr r="C70" s="3"/>
        <tr r="G136" s="2"/>
        <tr r="G137" s="2"/>
        <tr r="G135" s="2"/>
      </tp>
      <tp>
        <v>59.43</v>
        <stp/>
        <stp>LAST</stp>
        <stp>ON</stp>
        <tr r="C43" s="3"/>
        <tr r="G76" s="2"/>
        <tr r="G77" s="2"/>
      </tp>
      <tp>
        <v>2.7</v>
        <stp/>
        <stp>LAST</stp>
        <stp>LX</stp>
        <tr r="C37" s="3"/>
        <tr r="G64" s="2"/>
      </tp>
      <tp>
        <v>27.86</v>
        <stp/>
        <stp>LAST</stp>
        <stp>HG</stp>
        <tr r="C34" s="3"/>
        <tr r="G60" s="2"/>
        <tr r="G59" s="2"/>
        <tr r="G61" s="2"/>
      </tp>
      <tp>
        <v>38.97</v>
        <stp/>
        <stp>LAST</stp>
        <stp>G</stp>
        <tr r="C28" s="3"/>
        <tr r="G39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</cx:chartData>
  <cx:chart>
    <cx:title pos="t" align="ctr" overlay="0">
      <cx:tx>
        <cx:txData>
          <cx:v>Open P&amp;L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Open P&amp;L Weight</a:t>
          </a:r>
        </a:p>
      </cx:txPr>
    </cx:title>
    <cx:plotArea>
      <cx:plotAreaRegion>
        <cx:series layoutId="treemap" uniqueId="{D6899FBE-6F16-4348-BB79-CC8900F53801}">
          <cx:dataLabels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</cx:f>
      </cx:strDim>
      <cx:numDim type="size">
        <cx:f>_xlchart.v1.3</cx:f>
      </cx:numDim>
    </cx:data>
  </cx:chartData>
  <cx:chart>
    <cx:title pos="t" align="ctr" overlay="0">
      <cx:tx>
        <cx:txData>
          <cx:v>Investment Weight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1" i="0" u="none" strike="noStrike" baseline="0">
              <a:solidFill>
                <a:sysClr val="windowText" lastClr="000000"/>
              </a:solidFill>
              <a:latin typeface="Aptos Narrow" panose="02110004020202020204"/>
            </a:rPr>
            <a:t>Investment Weight</a:t>
          </a:r>
        </a:p>
      </cx:txPr>
    </cx:title>
    <cx:plotArea>
      <cx:plotAreaRegion>
        <cx:series layoutId="treemap" uniqueId="{46E86C70-5045-44E0-ABB5-BF6D8A3C285D}">
          <cx:dataLabels pos="inEnd">
            <cx:visibility seriesName="0" categoryName="1" value="1"/>
            <cx:separator>
</cx:separator>
          </cx:dataLabels>
          <cx:dataId val="0"/>
          <cx:layoutPr>
            <cx:parentLabelLayout val="banner"/>
          </cx:layoutPr>
        </cx:series>
      </cx:plotAreaRegion>
    </cx:plotArea>
  </cx:chart>
  <cx:spPr>
    <a:ln>
      <a:solidFill>
        <a:sysClr val="windowText" lastClr="000000"/>
      </a:solidFill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6E309A58-E587-4061-A417-242718E10102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val">
        <cx:f>_xlchart.v1.7</cx:f>
      </cx:numDim>
    </cx:data>
  </cx:chartData>
  <cx:chart>
    <cx:title pos="t" align="ctr" overlay="0">
      <cx:tx>
        <cx:txData>
          <cx:v>Gross P&amp;L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Gross P&amp;L</a:t>
          </a:r>
        </a:p>
      </cx:txPr>
    </cx:title>
    <cx:plotArea>
      <cx:plotAreaRegion>
        <cx:series layoutId="waterfall" uniqueId="{FB6A366E-597D-43C0-A7DA-6D33D04984C3}">
          <cx:dataId val="0"/>
          <cx:layoutPr>
            <cx:subtotals/>
          </cx:layoutPr>
        </cx:series>
      </cx:plotAreaRegion>
      <cx:axis id="0">
        <cx:catScaling gapWidth="0.5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  <cx:axis id="1">
        <cx:valScaling/>
        <cx:majorGridlines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b="1"/>
            </a:pPr>
            <a:endParaRPr lang="en-US" sz="900" b="1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  <cx:legend pos="t" align="ctr" overlay="0"/>
  </cx:chart>
  <cx:spPr>
    <a:ln>
      <a:solidFill>
        <a:sysClr val="windowText" lastClr="000000"/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14/relationships/chartEx" Target="../charts/chartEx4.xml"/><Relationship Id="rId1" Type="http://schemas.microsoft.com/office/2014/relationships/chartEx" Target="../charts/chartEx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15877</xdr:colOff>
      <xdr:row>0</xdr:row>
      <xdr:rowOff>7938</xdr:rowOff>
    </xdr:from>
    <xdr:to>
      <xdr:col>17</xdr:col>
      <xdr:colOff>7938</xdr:colOff>
      <xdr:row>2</xdr:row>
      <xdr:rowOff>71439</xdr:rowOff>
    </xdr:to>
    <xdr:sp macro="[0]!DataRefresh" textlink="">
      <xdr:nvSpPr>
        <xdr:cNvPr id="4" name="TextBox 3">
          <a:extLst>
            <a:ext uri="{FF2B5EF4-FFF2-40B4-BE49-F238E27FC236}">
              <a16:creationId xmlns:a16="http://schemas.microsoft.com/office/drawing/2014/main" id="{6951EC41-188D-4F72-91A4-B88DD8B92014}"/>
            </a:ext>
          </a:extLst>
        </xdr:cNvPr>
        <xdr:cNvSpPr txBox="1"/>
      </xdr:nvSpPr>
      <xdr:spPr>
        <a:xfrm>
          <a:off x="13009565" y="7938"/>
          <a:ext cx="1682748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Thinkorswim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  <xdr:twoCellAnchor>
    <xdr:from>
      <xdr:col>8</xdr:col>
      <xdr:colOff>0</xdr:colOff>
      <xdr:row>4</xdr:row>
      <xdr:rowOff>0</xdr:rowOff>
    </xdr:from>
    <xdr:to>
      <xdr:col>17</xdr:col>
      <xdr:colOff>1</xdr:colOff>
      <xdr:row>21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EEB759D2-EA08-4A85-892F-F4210A820C7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781050"/>
              <a:ext cx="7639051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0</xdr:colOff>
      <xdr:row>26</xdr:row>
      <xdr:rowOff>0</xdr:rowOff>
    </xdr:from>
    <xdr:to>
      <xdr:col>17</xdr:col>
      <xdr:colOff>0</xdr:colOff>
      <xdr:row>43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" name="Chart 6">
              <a:extLst>
                <a:ext uri="{FF2B5EF4-FFF2-40B4-BE49-F238E27FC236}">
                  <a16:creationId xmlns:a16="http://schemas.microsoft.com/office/drawing/2014/main" id="{C9CDA3A1-C0C5-4097-9CEC-EAB80EAB12E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48500" y="4972050"/>
              <a:ext cx="7639050" cy="324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15876</xdr:colOff>
      <xdr:row>0</xdr:row>
      <xdr:rowOff>15874</xdr:rowOff>
    </xdr:from>
    <xdr:to>
      <xdr:col>12</xdr:col>
      <xdr:colOff>0</xdr:colOff>
      <xdr:row>2</xdr:row>
      <xdr:rowOff>79375</xdr:rowOff>
    </xdr:to>
    <xdr:sp macro="[0]!DataRefresh" textlink="">
      <xdr:nvSpPr>
        <xdr:cNvPr id="3" name="TextBox 2">
          <a:extLst>
            <a:ext uri="{FF2B5EF4-FFF2-40B4-BE49-F238E27FC236}">
              <a16:creationId xmlns:a16="http://schemas.microsoft.com/office/drawing/2014/main" id="{81CB5583-B75E-4671-EF77-57BAC9214214}"/>
            </a:ext>
          </a:extLst>
        </xdr:cNvPr>
        <xdr:cNvSpPr txBox="1"/>
      </xdr:nvSpPr>
      <xdr:spPr>
        <a:xfrm>
          <a:off x="7778751" y="15874"/>
          <a:ext cx="1873249" cy="460376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</a:t>
          </a:r>
          <a:br>
            <a:rPr lang="en-US" sz="1100" b="1">
              <a:solidFill>
                <a:schemeClr val="accent2">
                  <a:lumMod val="75000"/>
                </a:schemeClr>
              </a:solidFill>
            </a:rPr>
          </a:br>
          <a:r>
            <a:rPr lang="en-US" sz="1100" b="1">
              <a:solidFill>
                <a:schemeClr val="accent2">
                  <a:lumMod val="75000"/>
                </a:schemeClr>
              </a:solidFill>
            </a:rPr>
            <a:t>(Open Thinkorswim</a:t>
          </a:r>
          <a:r>
            <a:rPr lang="en-US" sz="1100" b="1" baseline="0">
              <a:solidFill>
                <a:schemeClr val="accent2">
                  <a:lumMod val="75000"/>
                </a:schemeClr>
              </a:solidFill>
            </a:rPr>
            <a:t> first)</a:t>
          </a:r>
          <a:endParaRPr lang="en-US" sz="1100" b="1">
            <a:solidFill>
              <a:schemeClr val="accent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</xdr:colOff>
      <xdr:row>0</xdr:row>
      <xdr:rowOff>15876</xdr:rowOff>
    </xdr:from>
    <xdr:to>
      <xdr:col>8</xdr:col>
      <xdr:colOff>944563</xdr:colOff>
      <xdr:row>0</xdr:row>
      <xdr:rowOff>222251</xdr:rowOff>
    </xdr:to>
    <xdr:sp macro="[0]!DataRefresh" textlink="">
      <xdr:nvSpPr>
        <xdr:cNvPr id="2" name="TextBox 1">
          <a:extLst>
            <a:ext uri="{FF2B5EF4-FFF2-40B4-BE49-F238E27FC236}">
              <a16:creationId xmlns:a16="http://schemas.microsoft.com/office/drawing/2014/main" id="{1BAECE87-C1D5-4694-A84B-388EADD94B31}"/>
            </a:ext>
          </a:extLst>
        </xdr:cNvPr>
        <xdr:cNvSpPr txBox="1"/>
      </xdr:nvSpPr>
      <xdr:spPr>
        <a:xfrm>
          <a:off x="5484812" y="15876"/>
          <a:ext cx="2397126" cy="206375"/>
        </a:xfrm>
        <a:prstGeom prst="rect">
          <a:avLst/>
        </a:prstGeom>
        <a:solidFill>
          <a:srgbClr val="FFFF00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2">
                  <a:lumMod val="75000"/>
                </a:schemeClr>
              </a:solidFill>
            </a:rPr>
            <a:t>Refresh Data (Open Thinkorswim first)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9</xdr:col>
      <xdr:colOff>0</xdr:colOff>
      <xdr:row>15</xdr:row>
      <xdr:rowOff>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BA8EFBB1-545B-46C1-86CD-D0F0FDA143A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19100"/>
              <a:ext cx="4048125" cy="2476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21</xdr:row>
      <xdr:rowOff>0</xdr:rowOff>
    </xdr:from>
    <xdr:to>
      <xdr:col>9</xdr:col>
      <xdr:colOff>0</xdr:colOff>
      <xdr:row>34</xdr:row>
      <xdr:rowOff>7938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FA04BCD9-422E-4EB5-BE33-9E429C8E883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29050" y="4038600"/>
              <a:ext cx="4048125" cy="2484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ane Vu" refreshedDate="46056.783254861111" backgroundQuery="1" createdVersion="8" refreshedVersion="8" minRefreshableVersion="3" recordCount="0" supportSubquery="1" supportAdvancedDrill="1" xr:uid="{B8884278-D55D-4431-B94C-24019C05365B}">
  <cacheSource type="external" connectionId="6"/>
  <cacheFields count="5">
    <cacheField name="[undervalued_trades].[Exec Time (Month)].[Exec Time (Month)]" caption="Exec Time (Month)" numFmtId="0" hierarchy="11" level="1">
      <sharedItems count="11">
        <s v="Jan"/>
        <s v="Feb"/>
        <s v="Mar"/>
        <s v="Apr"/>
        <s v="May"/>
        <s v="Jun"/>
        <s v="Jul"/>
        <s v="Aug"/>
        <s v="Sep"/>
        <s v="Oct"/>
        <s v="Dec"/>
      </sharedItems>
    </cacheField>
    <cacheField name="[undervalued_trades].[Exec Time (Year)].[Exec Time (Year)]" caption="Exec Time (Year)" numFmtId="0" hierarchy="9" level="1">
      <sharedItems count="3">
        <s v="2024"/>
        <s v="2025"/>
        <s v="2026"/>
      </sharedItems>
    </cacheField>
    <cacheField name="[Measures].[Distinct Count of Symbol]" caption="Distinct Count of Symbol" numFmtId="0" hierarchy="16" level="32767"/>
    <cacheField name="[Measures].[Count of Symbol]" caption="Count of Symbol" numFmtId="0" hierarchy="15" level="32767"/>
    <cacheField name="[Measures].[Sum of Capital or Gain]" caption="Sum of Capital or Gain" numFmtId="0" hierarchy="17" level="32767"/>
  </cacheFields>
  <cacheHierarchies count="18">
    <cacheHierarchy uniqueName="[undervalued_trades].[Exec Time]" caption="Exec Time" attribute="1" time="1" defaultMemberUniqueName="[undervalued_trades].[Exec Time].[All]" allUniqueName="[undervalued_trades].[Exec Time].[All]" dimensionUniqueName="[undervalued_trades]" displayFolder="" count="0" memberValueDatatype="7" unbalanced="0"/>
    <cacheHierarchy uniqueName="[undervalued_trades].[Symbol]" caption="Symbol" attribute="1" defaultMemberUniqueName="[undervalued_trades].[Symbol].[All]" allUniqueName="[undervalued_trades].[Symbol].[All]" dimensionUniqueName="[undervalued_trades]" displayFolder="" count="0" memberValueDatatype="130" unbalanced="0"/>
    <cacheHierarchy uniqueName="[undervalued_trades].[Qty]" caption="Qty" attribute="1" defaultMemberUniqueName="[undervalued_trades].[Qty].[All]" allUniqueName="[undervalued_trades].[Qty].[All]" dimensionUniqueName="[undervalued_trades]" displayFolder="" count="0" memberValueDatatype="20" unbalanced="0"/>
    <cacheHierarchy uniqueName="[undervalued_trades].[Price]" caption="Price" attribute="1" defaultMemberUniqueName="[undervalued_trades].[Price].[All]" allUniqueName="[undervalued_trades].[Price].[All]" dimensionUniqueName="[undervalued_trades]" displayFolder="" count="0" memberValueDatatype="5" unbalanced="0"/>
    <cacheHierarchy uniqueName="[undervalued_trades].[Capital or Gain]" caption="Capital or Gain" attribute="1" defaultMemberUniqueName="[undervalued_trades].[Capital or Gain].[All]" allUniqueName="[undervalued_trades].[Capital or Gain].[All]" dimensionUniqueName="[undervalued_trades]" displayFolder="" count="0" memberValueDatatype="5" unbalanced="0"/>
    <cacheHierarchy uniqueName="[undervalued_trades].[Avg Price]" caption="Avg Price" attribute="1" defaultMemberUniqueName="[undervalued_trades].[Avg Price].[All]" allUniqueName="[undervalued_trades].[Avg Price].[All]" dimensionUniqueName="[undervalued_trades]" displayFolder="" count="0" memberValueDatatype="130" unbalanced="0"/>
    <cacheHierarchy uniqueName="[undervalued_trades].[Current Price]" caption="Current Price" attribute="1" defaultMemberUniqueName="[undervalued_trades].[Current Price].[All]" allUniqueName="[undervalued_trades].[Current Price].[All]" dimensionUniqueName="[undervalued_trades]" displayFolder="" count="0" memberValueDatatype="5" unbalanced="0"/>
    <cacheHierarchy uniqueName="[undervalued_trades].[Open P&amp;L]" caption="Open P&amp;L" attribute="1" defaultMemberUniqueName="[undervalued_trades].[Open P&amp;L].[All]" allUniqueName="[undervalued_trades].[Open P&amp;L].[All]" dimensionUniqueName="[undervalued_trades]" displayFolder="" count="0" memberValueDatatype="130" unbalanced="0"/>
    <cacheHierarchy uniqueName="[undervalued_trades].[Realized  P&amp;L]" caption="Realized  P&amp;L" attribute="1" defaultMemberUniqueName="[undervalued_trades].[Realized  P&amp;L].[All]" allUniqueName="[undervalued_trades].[Realized  P&amp;L].[All]" dimensionUniqueName="[undervalued_trades]" displayFolder="" count="0" memberValueDatatype="130" unbalanced="0"/>
    <cacheHierarchy uniqueName="[undervalued_trades].[Exec Time (Year)]" caption="Exec Time (Year)" attribute="1" defaultMemberUniqueName="[undervalued_trades].[Exec Time (Year)].[All]" allUniqueName="[undervalued_trades].[Exec Time (Year)].[All]" dimensionUniqueName="[undervalued_trades]" displayFolder="" count="2" memberValueDatatype="130" unbalanced="0">
      <fieldsUsage count="2">
        <fieldUsage x="-1"/>
        <fieldUsage x="1"/>
      </fieldsUsage>
    </cacheHierarchy>
    <cacheHierarchy uniqueName="[undervalued_trades].[Exec Time (Quarter)]" caption="Exec Time (Quarter)" attribute="1" defaultMemberUniqueName="[undervalued_trades].[Exec Time (Quarter)].[All]" allUniqueName="[undervalued_trades].[Exec Time (Quarter)].[All]" dimensionUniqueName="[undervalued_trades]" displayFolder="" count="0" memberValueDatatype="130" unbalanced="0"/>
    <cacheHierarchy uniqueName="[undervalued_trades].[Exec Time (Month)]" caption="Exec Time (Month)" attribute="1" defaultMemberUniqueName="[undervalued_trades].[Exec Time (Month)].[All]" allUniqueName="[undervalued_trades].[Exec Time (Month)].[All]" dimensionUniqueName="[undervalued_trades]" displayFolder="" count="2" memberValueDatatype="130" unbalanced="0">
      <fieldsUsage count="2">
        <fieldUsage x="-1"/>
        <fieldUsage x="0"/>
      </fieldsUsage>
    </cacheHierarchy>
    <cacheHierarchy uniqueName="[undervalued_trades].[Exec Time (Month Index)]" caption="Exec Time (Month Index)" attribute="1" defaultMemberUniqueName="[undervalued_trades].[Exec Time (Month Index)].[All]" allUniqueName="[undervalued_trades].[Exec Time (Month Index)].[All]" dimensionUniqueName="[undervalued_trades]" displayFolder="" count="0" memberValueDatatype="20" unbalanced="0" hidden="1"/>
    <cacheHierarchy uniqueName="[Measures].[__XL_Count undervalued_trades]" caption="__XL_Count undervalued_trades" measure="1" displayFolder="" measureGroup="undervalued_trades" count="0" hidden="1"/>
    <cacheHierarchy uniqueName="[Measures].[__No measures defined]" caption="__No measures defined" measure="1" displayFolder="" count="0" hidden="1"/>
    <cacheHierarchy uniqueName="[Measures].[Count of Symbol]" caption="Count of Symbol" measure="1" displayFolder="" measureGroup="undervalued_trad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Distinct Count of Symbol]" caption="Distinct Count of Symbol" measure="1" displayFolder="" measureGroup="undervalued_trade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um of Capital or Gain]" caption="Sum of Capital or Gain" measure="1" displayFolder="" measureGroup="undervalued_trade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</cacheHierarchies>
  <kpis count="0"/>
  <dimensions count="2">
    <dimension measure="1" name="Measures" uniqueName="[Measures]" caption="Measures"/>
    <dimension name="undervalued_trades" uniqueName="[undervalued_trades]" caption="undervalued_trades"/>
  </dimensions>
  <measureGroups count="1">
    <measureGroup name="undervalued_trades" caption="undervalued_trades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6056.783255092596" createdVersion="8" refreshedVersion="8" minRefreshableVersion="3" recordCount="136" xr:uid="{B7C20EC4-7066-409B-8B89-DDF3E58AFEF5}">
  <cacheSource type="worksheet">
    <worksheetSource name="trades"/>
  </cacheSource>
  <cacheFields count="11">
    <cacheField name="Exec Time" numFmtId="22">
      <sharedItems containsSemiMixedTypes="0" containsNonDate="0" containsDate="1" containsString="0" minDate="2024-10-09T07:00:00" maxDate="2026-02-03T16:00:00" count="169">
        <d v="2025-06-02T12:16:27"/>
        <d v="2025-05-29T10:20:08"/>
        <d v="2025-05-05T09:30:00"/>
        <d v="2025-08-05T09:30:05"/>
        <d v="2025-08-05T09:30:00"/>
        <d v="2025-10-07T09:30:02"/>
        <d v="2025-05-29T16:08:43"/>
        <d v="2024-10-29T10:26:17"/>
        <d v="2025-05-05T07:00:07"/>
        <d v="2025-05-29T10:10:12"/>
        <d v="2025-04-03T10:39:44"/>
        <d v="2025-08-05T09:30:21"/>
        <d v="2025-07-02T09:30:02"/>
        <d v="2025-01-06T09:26:14"/>
        <d v="2025-02-19T12:46:51"/>
        <d v="2025-05-06T07:00:08"/>
        <d v="2024-12-26T09:32:49"/>
        <d v="2024-10-14T12:31:17"/>
        <d v="2025-09-02T09:30:07"/>
        <d v="2025-05-06T13:56:17"/>
        <d v="2025-03-03T13:36:12"/>
        <d v="2025-04-03T07:23:40"/>
        <d v="2025-05-05T09:30:01"/>
        <d v="2025-03-28T11:54:39"/>
        <d v="2025-08-05T09:30:02"/>
        <d v="2025-06-02T07:00:00"/>
        <d v="2025-03-31T09:25:00"/>
        <d v="2025-07-02T09:30:00"/>
        <d v="2025-09-02T09:30:02"/>
        <d v="2025-04-07T07:00:00"/>
        <d v="2025-03-24T15:13:30"/>
        <d v="2025-06-02T07:00:08"/>
        <d v="2025-04-04T07:23:44"/>
        <d v="2025-06-30T09:29:52"/>
        <d v="2025-06-02T09:30:00"/>
        <d v="2025-10-07T09:30:01"/>
        <d v="2025-08-05T09:30:01"/>
        <d v="2025-04-07T07:00:01"/>
        <d v="2025-05-29T10:16:59"/>
        <d v="2025-04-04T07:00:00"/>
        <d v="2025-09-02T09:30:00"/>
        <d v="2025-03-31T07:00:00"/>
        <d v="2024-11-12T09:57:10"/>
        <d v="2025-03-04T09:31:42"/>
        <d v="2025-07-02T09:59:19"/>
        <d v="2025-06-03T09:32:01"/>
        <d v="2025-03-24T07:00:09"/>
        <d v="2025-05-29T16:03:14"/>
        <d v="2024-11-13T09:29:59"/>
        <d v="2025-03-31T08:41:49"/>
        <d v="2025-06-09T11:03:55"/>
        <d v="2025-06-23T09:31:07"/>
        <d v="2025-03-31T07:33:55"/>
        <d v="2024-10-15T07:00:00"/>
        <d v="2025-05-05T16:05:00"/>
        <d v="2025-01-06T07:25:34"/>
        <d v="2025-01-06T07:11:05"/>
        <d v="2025-01-06T07:13:36"/>
        <d v="2025-01-06T07:13:59"/>
        <d v="2025-01-06T09:25:32"/>
        <d v="2025-01-06T09:30:00"/>
        <d v="2025-10-07T09:30:00"/>
        <d v="2025-09-02T09:30:01"/>
        <d v="2025-04-07T09:30:00"/>
        <d v="2025-03-28T10:36:46"/>
        <d v="2025-05-30T09:35:35"/>
        <d v="2025-05-07T14:10:26"/>
        <d v="2025-04-04T07:26:56"/>
        <d v="2025-06-02T09:30:32"/>
        <d v="2024-12-10T12:00:02"/>
        <d v="2025-02-12T18:45:05"/>
        <d v="2025-06-02T07:00:01"/>
        <d v="2025-09-02T09:30:04"/>
        <d v="2025-06-02T09:30:08"/>
        <d v="2025-06-02T08:59:54"/>
        <d v="2025-03-31T07:00:01"/>
        <d v="2025-05-30T09:05:46"/>
        <d v="2025-04-03T10:01:40"/>
        <d v="2025-06-02T09:32:00"/>
        <d v="2025-05-05T07:00:01"/>
        <d v="2025-07-02T09:31:07"/>
        <d v="2024-10-15T09:29:51"/>
        <d v="2025-07-07T14:19:30"/>
        <d v="2025-05-05T11:00:37"/>
        <d v="2025-07-02T09:30:01"/>
        <d v="2025-04-04T07:07:01"/>
        <d v="2025-05-30T12:31:07"/>
        <d v="2025-07-02T10:02:18"/>
        <d v="2025-10-07T09:33:11"/>
        <d v="2025-04-04T12:22:28"/>
        <d v="2025-05-05T09:31:18"/>
        <d v="2025-09-02T09:30:06"/>
        <d v="2026-02-03T16:00:00"/>
        <d v="2025-07-02T09:30:05"/>
        <d v="2025-09-02T09:30:03"/>
        <d v="2025-05-29T10:08:59"/>
        <d v="2024-10-09T07:28:36"/>
        <d v="2024-10-09T08:33:48"/>
        <d v="2024-10-09T09:26:17"/>
        <d v="2025-01-06T15:49:03"/>
        <d v="2024-10-09T07:00:00"/>
        <d v="2025-07-09T11:46:42"/>
        <d v="2025-02-07T11:03:45" u="1"/>
        <d v="2025-03-04T10:04:19" u="1"/>
        <d v="2025-03-04T10:05:22" u="1"/>
        <d v="2025-04-04T07:00:43" u="1"/>
        <d v="2025-06-09T11:14:43" u="1"/>
        <d v="2025-03-04T10:14:59" u="1"/>
        <d v="2025-12-09T09:30:00" u="1"/>
        <d v="2026-01-07T09:30:03" u="1"/>
        <d v="2026-01-06T09:30:04" u="1"/>
        <d v="2025-12-01T09:30:01" u="1"/>
        <d v="2026-01-13T09:30:00" u="1"/>
        <d v="2026-01-15T09:30:00" u="1"/>
        <d v="2025-11-26T09:31:37" u="1"/>
        <d v="2025-12-29T07:26:18" u="1"/>
        <d v="2025-12-29T07:15:01" u="1"/>
        <d v="2025-12-29T08:48:30" u="1"/>
        <d v="2025-12-29T07:00:10" u="1"/>
        <d v="2025-11-26T09:30:01" u="1"/>
        <d v="2026-01-06T11:30:27" u="1"/>
        <d v="2026-01-06T11:30:04" u="1"/>
        <d v="2026-01-06T09:30:01" u="1"/>
        <d v="2025-12-01T09:30:03" u="1"/>
        <d v="2026-01-15T09:30:02" u="1"/>
        <d v="2026-01-12T09:37:09" u="1"/>
        <d v="2026-01-16T09:30:02" u="1"/>
        <d v="2026-01-07T10:08:07" u="1"/>
        <d v="2025-12-23T09:30:01" u="1"/>
        <d v="2025-12-22T09:30:07" u="1"/>
        <d v="2025-11-19T09:30:02" u="1"/>
        <d v="2026-01-22T10:32:26" u="1"/>
        <d v="2025-12-17T11:36:44" u="1"/>
        <d v="2025-12-23T09:30:00" u="1"/>
        <d v="2025-12-31T07:00:00" u="1"/>
        <d v="2025-12-31T07:00:15" u="1"/>
        <d v="2025-11-26T09:30:00" u="1"/>
        <d v="2025-12-15T09:30:02" u="1"/>
        <d v="2025-12-24T09:30:00" u="1"/>
        <d v="2025-11-24T09:30:01" u="1"/>
        <d v="2026-01-08T09:30:00" u="1"/>
        <d v="2026-01-06T10:08:12" u="1"/>
        <d v="2025-12-17T11:25:54" u="1"/>
        <d v="2026-01-07T09:30:01" u="1"/>
        <d v="2025-12-01T09:30:02" u="1"/>
        <d v="2025-12-29T07:00:01" u="1"/>
        <d v="2025-12-24T09:30:02" u="1"/>
        <d v="2025-12-19T09:30:00" u="1"/>
        <d v="2026-01-08T11:56:28" u="1"/>
        <d v="2026-01-12T09:30:01" u="1"/>
        <d v="2026-01-08T09:30:01" u="1"/>
        <d v="2026-01-06T09:30:00" u="1"/>
        <d v="2025-12-01T09:30:00" u="1"/>
        <d v="2026-01-06T09:30:03" u="1"/>
        <d v="2026-01-06T09:30:02" u="1"/>
        <d v="2026-01-05T09:35:02" u="1"/>
        <d v="2026-01-05T09:31:16" u="1"/>
        <d v="2026-01-13T09:30:02" u="1"/>
        <d v="2025-12-22T09:39:09" u="1"/>
        <d v="2026-01-16T09:30:00" u="1"/>
        <d v="2025-12-30T11:24:01" u="1"/>
        <d v="2026-01-12T09:30:06" u="1"/>
        <d v="2026-01-14T09:30:01" u="1"/>
        <d v="2025-11-07T09:30:01" u="1"/>
        <d v="2025-09-23T09:30:00" u="1"/>
        <d v="2025-10-10T09:51:53" u="1"/>
        <d v="2025-09-03T09:30:02" u="1"/>
        <d v="2024-12-03T09:30:02" u="1"/>
        <d v="2025-06-03T07:00:00" u="1"/>
      </sharedItems>
      <fieldGroup par="10"/>
    </cacheField>
    <cacheField name="Symbol" numFmtId="0">
      <sharedItems count="116">
        <s v="ABEV"/>
        <s v="ACLS"/>
        <s v="ACN"/>
        <s v="AEO"/>
        <s v="AMTD"/>
        <s v="ASO"/>
        <s v="ATKR"/>
        <s v="AZN"/>
        <s v="BTU"/>
        <s v="BYD"/>
        <s v="CCRN"/>
        <s v="CHA"/>
        <s v="CHRD"/>
        <s v="CIVI"/>
        <s v="CNR"/>
        <s v="COP"/>
        <s v="CRUS"/>
        <s v="CTSH"/>
        <s v="CVE"/>
        <s v="DDI"/>
        <s v="DOX"/>
        <s v="FHI"/>
        <s v="FINV"/>
        <s v="G"/>
        <s v="GIB"/>
        <s v="GIII"/>
        <s v="GMAB"/>
        <s v="GSL"/>
        <s v="HAFN"/>
        <s v="HG"/>
        <s v="HNI"/>
        <s v="KOF"/>
        <s v="LX"/>
        <s v="MAT"/>
        <s v="MOMO"/>
        <s v="MSFT"/>
        <s v="NMIH"/>
        <s v="NXT"/>
        <s v="ON"/>
        <s v="OVV"/>
        <s v="PDD"/>
        <s v="PDS"/>
        <s v="PHM"/>
        <s v="RAL"/>
        <s v="RWAY"/>
        <s v="SCVL"/>
        <s v="SFD"/>
        <s v="SGU"/>
        <s v="SITC"/>
        <s v="SQM"/>
        <s v="STNG"/>
        <s v="SU"/>
        <s v="TGNA"/>
        <s v="TGT"/>
        <s v="TMHC"/>
        <s v="TPVG"/>
        <s v="TTE"/>
        <s v="VCTR"/>
        <s v="VICI"/>
        <s v="VIPS"/>
        <s v="WIT"/>
        <s v="XYF"/>
        <s v="YALA"/>
        <s v="YRD"/>
        <s v="YUMC"/>
        <s v="ZM"/>
        <s v="ABCL" u="1"/>
        <s v="ACHR" u="1"/>
        <s v="AEVA" u="1"/>
        <s v="AMLX" u="1"/>
        <s v="AVAH" u="1"/>
        <s v="BBAI" u="1"/>
        <s v="BCRX" u="1"/>
        <s v="BKSY" u="1"/>
        <s v="BULL" u="1"/>
        <s v="CC" u="1"/>
        <s v="CIFR" u="1"/>
        <s v="CLOV" u="1"/>
        <s v="CLVT" u="1"/>
        <s v="CMPX" u="1"/>
        <s v="CRGY" u="1"/>
        <s v="DAO" u="1"/>
        <s v="DNN" u="1"/>
        <s v="DXCM" u="1"/>
        <s v="ENVX" u="1"/>
        <s v="EVLV" u="1"/>
        <s v="GEN" u="1"/>
        <s v="GPK" u="1"/>
        <s v="HTZ" u="1"/>
        <s v="ICE" u="1"/>
        <s v="IMSR" u="1"/>
        <s v="LCID" u="1"/>
        <s v="LPTH" u="1"/>
        <s v="LUMN" u="1"/>
        <s v="NB" u="1"/>
        <s v="NFGC" u="1"/>
        <s v="OGN" u="1"/>
        <s v="PCT" u="1"/>
        <s v="PLUG" u="1"/>
        <s v="PRCH" u="1"/>
        <s v="PTON" u="1"/>
        <s v="PTRN" u="1"/>
        <s v="RUN" u="1"/>
        <s v="RXRX" u="1"/>
        <s v="RZLV" u="1"/>
        <s v="SHLS" u="1"/>
        <s v="SOUN" u="1"/>
        <s v="STEM" u="1"/>
        <s v="STUB" u="1"/>
        <s v="TIGR" u="1"/>
        <s v="TMC" u="1"/>
        <s v="ULCC" u="1"/>
        <s v="VELO" u="1"/>
        <s v="XERS" u="1"/>
        <s v="XXI" u="1"/>
        <s v="ZS" u="1"/>
      </sharedItems>
    </cacheField>
    <cacheField name="Qty" numFmtId="0">
      <sharedItems containsSemiMixedTypes="0" containsString="0" containsNumber="1" containsInteger="1" minValue="-55" maxValue="375"/>
    </cacheField>
    <cacheField name="Price" numFmtId="0">
      <sharedItems containsSemiMixedTypes="0" containsString="0" containsNumber="1" minValue="1.33" maxValue="528.20000000000005"/>
    </cacheField>
    <cacheField name="Capital or Gain" numFmtId="0">
      <sharedItems containsSemiMixedTypes="0" containsString="0" containsNumber="1" minValue="-4280" maxValue="5282"/>
    </cacheField>
    <cacheField name="Avg Price" numFmtId="2">
      <sharedItems containsMixedTypes="1" containsNumber="1" minValue="1.33" maxValue="249.13000000000002"/>
    </cacheField>
    <cacheField name="Current Price" numFmtId="2">
      <sharedItems containsSemiMixedTypes="0" containsString="0" containsNumber="1" minValue="0.99504999999999999" maxValue="411.21"/>
    </cacheField>
    <cacheField name="Open P&amp;L" numFmtId="2">
      <sharedItems containsMixedTypes="1" containsNumber="1" minValue="-729.74999999999989" maxValue="1390.4999999999998"/>
    </cacheField>
    <cacheField name="Realized  P&amp;L" numFmtId="2">
      <sharedItems containsMixedTypes="1" containsNumber="1" minValue="-145.05000000000007" maxValue="1002"/>
    </cacheField>
    <cacheField name="Months (Exec Time)" numFmtId="0" databaseField="0">
      <fieldGroup base="0">
        <rangePr groupBy="months" startDate="2024-10-09T07:00:00" endDate="2026-02-03T16:00:00"/>
        <groupItems count="14">
          <s v="&lt;10/9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3/2026"/>
        </groupItems>
      </fieldGroup>
    </cacheField>
    <cacheField name="Years (Exec Time)" numFmtId="0" databaseField="0">
      <fieldGroup base="0">
        <rangePr groupBy="years" startDate="2024-10-09T07:00:00" endDate="2026-02-03T16:00:00"/>
        <groupItems count="5">
          <s v="&lt;10/9/2024"/>
          <s v="2024"/>
          <s v="2025"/>
          <s v="2026"/>
          <s v="&gt;2/3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6">
  <r>
    <x v="0"/>
    <x v="0"/>
    <n v="205"/>
    <n v="2.44"/>
    <n v="-500.2"/>
    <n v="2.398963855421687"/>
    <n v="2.9"/>
    <n v="415.85999999999973"/>
    <s v=""/>
  </r>
  <r>
    <x v="1"/>
    <x v="0"/>
    <n v="200"/>
    <n v="2.4897"/>
    <n v="-497.94"/>
    <n v="2.398963855421687"/>
    <n v="2.9"/>
    <n v="415.85999999999973"/>
    <s v=""/>
  </r>
  <r>
    <x v="2"/>
    <x v="0"/>
    <n v="200"/>
    <n v="2.4900000000000002"/>
    <n v="-498.00000000000006"/>
    <n v="2.398963855421687"/>
    <n v="2.9"/>
    <n v="415.85999999999973"/>
    <s v=""/>
  </r>
  <r>
    <x v="3"/>
    <x v="0"/>
    <n v="225"/>
    <n v="2.2000000000000002"/>
    <n v="-495.00000000000006"/>
    <n v="2.398963855421687"/>
    <n v="2.9"/>
    <n v="415.85999999999973"/>
    <s v=""/>
  </r>
  <r>
    <x v="4"/>
    <x v="1"/>
    <n v="5"/>
    <n v="80"/>
    <n v="-400"/>
    <n v="80"/>
    <n v="84.37"/>
    <n v="21.850000000000023"/>
    <s v=""/>
  </r>
  <r>
    <x v="5"/>
    <x v="2"/>
    <n v="5"/>
    <n v="249.13"/>
    <n v="-1245.6500000000001"/>
    <n v="249.13000000000002"/>
    <n v="241.21"/>
    <n v="-39.60000000000008"/>
    <s v=""/>
  </r>
  <r>
    <x v="6"/>
    <x v="3"/>
    <n v="50"/>
    <n v="10.42"/>
    <n v="-521"/>
    <n v="10.42"/>
    <n v="24.02"/>
    <n v="680"/>
    <s v=""/>
  </r>
  <r>
    <x v="7"/>
    <x v="4"/>
    <n v="375"/>
    <n v="1.33"/>
    <n v="-498.75"/>
    <n v="1.33"/>
    <n v="0.99504999999999999"/>
    <n v="-125.60625000000003"/>
    <s v=""/>
  </r>
  <r>
    <x v="8"/>
    <x v="5"/>
    <n v="10"/>
    <n v="38.950000000000003"/>
    <n v="-389.5"/>
    <n v="38.950000000000003"/>
    <n v="59.06"/>
    <n v="201.1"/>
    <s v=""/>
  </r>
  <r>
    <x v="9"/>
    <x v="6"/>
    <n v="5"/>
    <n v="65.98"/>
    <n v="-329.90000000000003"/>
    <n v="61.995000000000005"/>
    <n v="69.89"/>
    <n v="157.89999999999992"/>
    <s v=""/>
  </r>
  <r>
    <x v="10"/>
    <x v="6"/>
    <n v="10"/>
    <n v="56"/>
    <n v="-560"/>
    <n v="61.995000000000005"/>
    <n v="69.89"/>
    <n v="157.89999999999992"/>
    <s v=""/>
  </r>
  <r>
    <x v="11"/>
    <x v="6"/>
    <n v="5"/>
    <n v="70"/>
    <n v="-350"/>
    <n v="61.995000000000005"/>
    <n v="69.89"/>
    <n v="157.89999999999992"/>
    <s v=""/>
  </r>
  <r>
    <x v="12"/>
    <x v="7"/>
    <n v="5"/>
    <n v="70.62"/>
    <n v="-353.1"/>
    <n v="70.62"/>
    <n v="184.32"/>
    <n v="568.5"/>
    <s v=""/>
  </r>
  <r>
    <x v="13"/>
    <x v="8"/>
    <n v="25"/>
    <n v="20.23"/>
    <n v="-505.75"/>
    <n v="16.690000000000001"/>
    <n v="35.229999999999997"/>
    <n v="1390.4999999999998"/>
    <s v=""/>
  </r>
  <r>
    <x v="14"/>
    <x v="8"/>
    <n v="50"/>
    <n v="14.92"/>
    <n v="-746"/>
    <n v="16.690000000000001"/>
    <n v="35.229999999999997"/>
    <n v="1390.4999999999998"/>
    <s v=""/>
  </r>
  <r>
    <x v="15"/>
    <x v="9"/>
    <n v="5"/>
    <n v="69.83"/>
    <n v="-349.15"/>
    <n v="69.83"/>
    <n v="83"/>
    <n v="65.850000000000009"/>
    <s v=""/>
  </r>
  <r>
    <x v="16"/>
    <x v="10"/>
    <n v="-40"/>
    <n v="17.9404"/>
    <n v="717.61599999999999"/>
    <s v=""/>
    <n v="9"/>
    <s v=""/>
    <n v="717.61599999999999"/>
  </r>
  <r>
    <x v="17"/>
    <x v="10"/>
    <n v="40"/>
    <n v="12.5"/>
    <n v="-500"/>
    <s v=""/>
    <n v="9"/>
    <s v=""/>
    <s v=""/>
  </r>
  <r>
    <x v="18"/>
    <x v="11"/>
    <n v="25"/>
    <n v="19"/>
    <n v="-475"/>
    <n v="19"/>
    <n v="11.04"/>
    <n v="-199.00000000000003"/>
    <s v=""/>
  </r>
  <r>
    <x v="19"/>
    <x v="12"/>
    <n v="5"/>
    <n v="90"/>
    <n v="-450"/>
    <n v="98.75"/>
    <n v="97.42"/>
    <n v="-13.299999999999983"/>
    <s v=""/>
  </r>
  <r>
    <x v="20"/>
    <x v="12"/>
    <n v="5"/>
    <n v="107.5"/>
    <n v="-537.5"/>
    <n v="98.75"/>
    <n v="97.42"/>
    <n v="-13.299999999999983"/>
    <s v=""/>
  </r>
  <r>
    <x v="21"/>
    <x v="13"/>
    <n v="15"/>
    <n v="33.33"/>
    <n v="-499.95"/>
    <n v="33.33"/>
    <n v="27.38"/>
    <n v="-89.249999999999986"/>
    <s v=""/>
  </r>
  <r>
    <x v="22"/>
    <x v="14"/>
    <n v="5"/>
    <n v="74"/>
    <n v="-370"/>
    <n v="74"/>
    <n v="90.76"/>
    <n v="83.800000000000026"/>
    <s v=""/>
  </r>
  <r>
    <x v="22"/>
    <x v="15"/>
    <n v="5"/>
    <n v="89.69"/>
    <n v="-448.45"/>
    <n v="89.69"/>
    <n v="104.91"/>
    <n v="76.099999999999994"/>
    <s v=""/>
  </r>
  <r>
    <x v="23"/>
    <x v="16"/>
    <n v="5"/>
    <n v="100"/>
    <n v="-500"/>
    <n v="100"/>
    <n v="124.58"/>
    <n v="122.89999999999999"/>
    <s v=""/>
  </r>
  <r>
    <x v="24"/>
    <x v="17"/>
    <n v="5"/>
    <n v="71.260000000000005"/>
    <n v="-356.3"/>
    <n v="75.804000000000002"/>
    <n v="74.5"/>
    <n v="-32.600000000000051"/>
    <s v=""/>
  </r>
  <r>
    <x v="25"/>
    <x v="17"/>
    <n v="5"/>
    <n v="80.97"/>
    <n v="-404.85"/>
    <n v="75.804000000000002"/>
    <n v="74.5"/>
    <n v="-32.600000000000051"/>
    <s v=""/>
  </r>
  <r>
    <x v="26"/>
    <x v="17"/>
    <n v="5"/>
    <n v="75"/>
    <n v="-375"/>
    <n v="75.804000000000002"/>
    <n v="74.5"/>
    <n v="-32.600000000000051"/>
    <s v=""/>
  </r>
  <r>
    <x v="27"/>
    <x v="17"/>
    <n v="5"/>
    <n v="80.3"/>
    <n v="-401.5"/>
    <n v="75.804000000000002"/>
    <n v="74.5"/>
    <n v="-32.600000000000051"/>
    <s v=""/>
  </r>
  <r>
    <x v="28"/>
    <x v="17"/>
    <n v="5"/>
    <n v="71.489999999999995"/>
    <n v="-357.45"/>
    <n v="75.804000000000002"/>
    <n v="74.5"/>
    <n v="-32.600000000000051"/>
    <s v=""/>
  </r>
  <r>
    <x v="29"/>
    <x v="18"/>
    <n v="45"/>
    <n v="10.84"/>
    <n v="-487.8"/>
    <n v="10.84"/>
    <n v="19.95"/>
    <n v="409.95"/>
    <s v=""/>
  </r>
  <r>
    <x v="30"/>
    <x v="19"/>
    <n v="50"/>
    <n v="10.050000000000001"/>
    <n v="-502.50000000000006"/>
    <n v="10.050000000000001"/>
    <n v="8.57"/>
    <n v="-74.000000000000028"/>
    <s v=""/>
  </r>
  <r>
    <x v="31"/>
    <x v="20"/>
    <n v="5"/>
    <n v="91.76"/>
    <n v="-458.8"/>
    <n v="88.13"/>
    <n v="74.02"/>
    <n v="-141.1"/>
    <s v=""/>
  </r>
  <r>
    <x v="32"/>
    <x v="20"/>
    <n v="5"/>
    <n v="84.5"/>
    <n v="-422.5"/>
    <n v="88.13"/>
    <n v="74.02"/>
    <n v="-141.1"/>
    <s v=""/>
  </r>
  <r>
    <x v="33"/>
    <x v="21"/>
    <n v="10"/>
    <n v="44.5"/>
    <n v="-445"/>
    <n v="44.5"/>
    <n v="52.8"/>
    <n v="82.999999999999972"/>
    <s v=""/>
  </r>
  <r>
    <x v="34"/>
    <x v="22"/>
    <n v="10"/>
    <n v="8.36"/>
    <n v="-83.6"/>
    <n v="8.3600000000000012"/>
    <n v="5.0199999999999996"/>
    <n v="-200.40000000000009"/>
    <s v=""/>
  </r>
  <r>
    <x v="34"/>
    <x v="22"/>
    <n v="50"/>
    <n v="8.36"/>
    <n v="-418"/>
    <n v="8.3600000000000012"/>
    <n v="5.0199999999999996"/>
    <n v="-200.40000000000009"/>
    <s v=""/>
  </r>
  <r>
    <x v="5"/>
    <x v="23"/>
    <n v="10"/>
    <n v="41.15"/>
    <n v="-411.5"/>
    <n v="41.15"/>
    <n v="38.97"/>
    <n v="-21.799999999999997"/>
    <s v=""/>
  </r>
  <r>
    <x v="35"/>
    <x v="24"/>
    <n v="5"/>
    <n v="91.34"/>
    <n v="-456.70000000000005"/>
    <n v="94.537499999999994"/>
    <n v="79.650000000000006"/>
    <n v="-297.74999999999977"/>
    <s v=""/>
  </r>
  <r>
    <x v="28"/>
    <x v="24"/>
    <n v="5"/>
    <n v="96.26"/>
    <n v="-481.3"/>
    <n v="94.537499999999994"/>
    <n v="79.650000000000006"/>
    <n v="-297.74999999999977"/>
    <s v=""/>
  </r>
  <r>
    <x v="36"/>
    <x v="24"/>
    <n v="5"/>
    <n v="96.75"/>
    <n v="-483.75"/>
    <n v="94.537499999999994"/>
    <n v="79.650000000000006"/>
    <n v="-297.74999999999977"/>
    <s v=""/>
  </r>
  <r>
    <x v="37"/>
    <x v="24"/>
    <n v="5"/>
    <n v="93.8"/>
    <n v="-469"/>
    <n v="94.537499999999994"/>
    <n v="79.650000000000006"/>
    <n v="-297.74999999999977"/>
    <s v=""/>
  </r>
  <r>
    <x v="28"/>
    <x v="25"/>
    <n v="20"/>
    <n v="26.89"/>
    <n v="-537.79999999999995"/>
    <n v="26.40444444444444"/>
    <n v="30"/>
    <n v="323.60000000000036"/>
    <s v=""/>
  </r>
  <r>
    <x v="24"/>
    <x v="25"/>
    <n v="20"/>
    <n v="24.28"/>
    <n v="-485.6"/>
    <n v="26.40444444444444"/>
    <n v="30"/>
    <n v="323.60000000000036"/>
    <s v=""/>
  </r>
  <r>
    <x v="38"/>
    <x v="25"/>
    <n v="15"/>
    <n v="28.28"/>
    <n v="-424.20000000000005"/>
    <n v="26.40444444444444"/>
    <n v="30"/>
    <n v="323.60000000000036"/>
    <s v=""/>
  </r>
  <r>
    <x v="25"/>
    <x v="25"/>
    <n v="15"/>
    <n v="29.04"/>
    <n v="-435.59999999999997"/>
    <n v="26.40444444444444"/>
    <n v="30"/>
    <n v="323.60000000000036"/>
    <s v=""/>
  </r>
  <r>
    <x v="39"/>
    <x v="25"/>
    <n v="20"/>
    <n v="24.66"/>
    <n v="-493.2"/>
    <n v="26.40444444444444"/>
    <n v="30"/>
    <n v="323.60000000000036"/>
    <s v=""/>
  </r>
  <r>
    <x v="40"/>
    <x v="26"/>
    <n v="20"/>
    <n v="25.79"/>
    <n v="-515.79999999999995"/>
    <n v="22.228888888888889"/>
    <n v="33.03"/>
    <n v="486.05000000000007"/>
    <s v=""/>
  </r>
  <r>
    <x v="41"/>
    <x v="26"/>
    <n v="25"/>
    <n v="19.38"/>
    <n v="-484.5"/>
    <n v="22.228888888888889"/>
    <n v="33.03"/>
    <n v="486.05000000000007"/>
    <s v=""/>
  </r>
  <r>
    <x v="42"/>
    <x v="27"/>
    <n v="20"/>
    <n v="23.26"/>
    <n v="-465.20000000000005"/>
    <n v="22.004444444444445"/>
    <n v="37.39"/>
    <n v="692.35"/>
    <s v=""/>
  </r>
  <r>
    <x v="43"/>
    <x v="27"/>
    <n v="25"/>
    <n v="21"/>
    <n v="-525"/>
    <n v="22.004444444444445"/>
    <n v="37.39"/>
    <n v="692.35"/>
    <s v=""/>
  </r>
  <r>
    <x v="28"/>
    <x v="28"/>
    <n v="75"/>
    <n v="6.11"/>
    <n v="-458.25"/>
    <n v="5.1386556521739131"/>
    <n v="6.2"/>
    <n v="610.27300000000014"/>
    <s v=""/>
  </r>
  <r>
    <x v="4"/>
    <x v="28"/>
    <n v="85"/>
    <n v="5.85"/>
    <n v="-497.24999999999994"/>
    <n v="5.1386556521739131"/>
    <n v="6.2"/>
    <n v="610.27300000000014"/>
    <s v=""/>
  </r>
  <r>
    <x v="44"/>
    <x v="28"/>
    <n v="100"/>
    <n v="4.99"/>
    <n v="-499"/>
    <n v="5.1386556521739131"/>
    <n v="6.2"/>
    <n v="610.27300000000014"/>
    <s v=""/>
  </r>
  <r>
    <x v="45"/>
    <x v="28"/>
    <n v="100"/>
    <n v="5"/>
    <n v="-500"/>
    <n v="5.1386556521739131"/>
    <n v="6.2"/>
    <n v="610.27300000000014"/>
    <s v=""/>
  </r>
  <r>
    <x v="46"/>
    <x v="28"/>
    <n v="115"/>
    <n v="4.3498000000000001"/>
    <n v="-500.22700000000003"/>
    <n v="5.1386556521739131"/>
    <n v="6.2"/>
    <n v="610.27300000000014"/>
    <s v=""/>
  </r>
  <r>
    <x v="47"/>
    <x v="28"/>
    <n v="100"/>
    <n v="5"/>
    <n v="-500"/>
    <n v="5.1386556521739131"/>
    <n v="6.2"/>
    <n v="610.27300000000014"/>
    <s v=""/>
  </r>
  <r>
    <x v="48"/>
    <x v="29"/>
    <n v="25"/>
    <n v="17.809999999999999"/>
    <n v="-445.24999999999994"/>
    <n v="19.813333333333333"/>
    <n v="27.86"/>
    <n v="603.5"/>
    <s v=""/>
  </r>
  <r>
    <x v="49"/>
    <x v="29"/>
    <n v="25"/>
    <n v="21"/>
    <n v="-525"/>
    <n v="19.813333333333333"/>
    <n v="27.86"/>
    <n v="603.5"/>
    <s v=""/>
  </r>
  <r>
    <x v="50"/>
    <x v="29"/>
    <n v="25"/>
    <n v="20.63"/>
    <n v="-515.75"/>
    <n v="19.813333333333333"/>
    <n v="27.86"/>
    <n v="603.5"/>
    <s v=""/>
  </r>
  <r>
    <x v="51"/>
    <x v="30"/>
    <n v="10"/>
    <n v="46"/>
    <n v="-460"/>
    <n v="46"/>
    <n v="48.87"/>
    <n v="28.699999999999974"/>
    <s v=""/>
  </r>
  <r>
    <x v="52"/>
    <x v="31"/>
    <n v="5"/>
    <n v="92"/>
    <n v="-460"/>
    <n v="92"/>
    <n v="107.86"/>
    <n v="79.3"/>
    <s v=""/>
  </r>
  <r>
    <x v="53"/>
    <x v="32"/>
    <n v="135"/>
    <n v="3.47"/>
    <n v="-468.45000000000005"/>
    <n v="3.47"/>
    <n v="2.7"/>
    <n v="-103.95"/>
    <s v=""/>
  </r>
  <r>
    <x v="54"/>
    <x v="33"/>
    <n v="30"/>
    <n v="16"/>
    <n v="-480"/>
    <n v="16"/>
    <n v="21.19"/>
    <n v="155.70000000000005"/>
    <s v=""/>
  </r>
  <r>
    <x v="55"/>
    <x v="34"/>
    <n v="5"/>
    <n v="7.18"/>
    <n v="-35.9"/>
    <n v="7.1799999999999988"/>
    <n v="6.49"/>
    <n v="-44.849999999999909"/>
    <s v=""/>
  </r>
  <r>
    <x v="56"/>
    <x v="34"/>
    <n v="5"/>
    <n v="7.18"/>
    <n v="-35.9"/>
    <n v="7.1799999999999988"/>
    <n v="6.49"/>
    <n v="-44.849999999999909"/>
    <s v=""/>
  </r>
  <r>
    <x v="57"/>
    <x v="34"/>
    <n v="5"/>
    <n v="7.18"/>
    <n v="-35.9"/>
    <n v="7.1799999999999988"/>
    <n v="6.49"/>
    <n v="-44.849999999999909"/>
    <s v=""/>
  </r>
  <r>
    <x v="58"/>
    <x v="34"/>
    <n v="5"/>
    <n v="7.18"/>
    <n v="-35.9"/>
    <n v="7.1799999999999988"/>
    <n v="6.49"/>
    <n v="-44.849999999999909"/>
    <s v=""/>
  </r>
  <r>
    <x v="59"/>
    <x v="34"/>
    <n v="45"/>
    <n v="7.18"/>
    <n v="-323.09999999999997"/>
    <n v="7.1799999999999988"/>
    <n v="6.49"/>
    <n v="-44.849999999999909"/>
    <s v=""/>
  </r>
  <r>
    <x v="60"/>
    <x v="35"/>
    <n v="10"/>
    <n v="428"/>
    <n v="-4280"/>
    <s v=""/>
    <n v="411.21"/>
    <s v=""/>
    <s v=""/>
  </r>
  <r>
    <x v="61"/>
    <x v="35"/>
    <n v="-10"/>
    <n v="528.20000000000005"/>
    <n v="5282"/>
    <s v=""/>
    <n v="411.21"/>
    <s v=""/>
    <n v="1002"/>
  </r>
  <r>
    <x v="62"/>
    <x v="36"/>
    <n v="10"/>
    <n v="39"/>
    <n v="-390"/>
    <n v="35.4"/>
    <n v="38.72"/>
    <n v="83"/>
    <s v=""/>
  </r>
  <r>
    <x v="63"/>
    <x v="36"/>
    <n v="15"/>
    <n v="33"/>
    <n v="-495"/>
    <n v="35.4"/>
    <n v="38.72"/>
    <n v="83"/>
    <s v=""/>
  </r>
  <r>
    <x v="61"/>
    <x v="37"/>
    <n v="5"/>
    <n v="78.34"/>
    <n v="-391.70000000000005"/>
    <n v="78.34"/>
    <n v="119.85"/>
    <n v="207.54999999999995"/>
    <s v=""/>
  </r>
  <r>
    <x v="64"/>
    <x v="38"/>
    <n v="10"/>
    <n v="42"/>
    <n v="-420"/>
    <n v="42"/>
    <n v="59.43"/>
    <n v="348.6"/>
    <s v=""/>
  </r>
  <r>
    <x v="65"/>
    <x v="38"/>
    <n v="10"/>
    <n v="42"/>
    <n v="-420"/>
    <n v="42"/>
    <n v="59.43"/>
    <n v="348.6"/>
    <s v=""/>
  </r>
  <r>
    <x v="66"/>
    <x v="39"/>
    <n v="15"/>
    <n v="33.33"/>
    <n v="-499.95"/>
    <n v="34.646000000000001"/>
    <n v="44.11"/>
    <n v="236.59999999999997"/>
    <s v=""/>
  </r>
  <r>
    <x v="67"/>
    <x v="39"/>
    <n v="10"/>
    <n v="36.619999999999997"/>
    <n v="-366.2"/>
    <n v="34.646000000000001"/>
    <n v="44.11"/>
    <n v="236.59999999999997"/>
    <s v=""/>
  </r>
  <r>
    <x v="68"/>
    <x v="40"/>
    <n v="5"/>
    <n v="96"/>
    <n v="-480"/>
    <n v="115.245"/>
    <n v="103.32"/>
    <n v="-119.25000000000011"/>
    <s v=""/>
  </r>
  <r>
    <x v="35"/>
    <x v="40"/>
    <n v="5"/>
    <n v="134.49"/>
    <n v="-672.45"/>
    <n v="115.245"/>
    <n v="103.32"/>
    <n v="-119.25000000000011"/>
    <s v=""/>
  </r>
  <r>
    <x v="69"/>
    <x v="41"/>
    <n v="5"/>
    <n v="60.98"/>
    <n v="-304.89999999999998"/>
    <n v="57.739999999999995"/>
    <n v="81.849999999999994"/>
    <n v="241.1"/>
    <s v=""/>
  </r>
  <r>
    <x v="70"/>
    <x v="41"/>
    <n v="5"/>
    <n v="54.5"/>
    <n v="-272.5"/>
    <n v="57.739999999999995"/>
    <n v="81.849999999999994"/>
    <n v="241.1"/>
    <s v=""/>
  </r>
  <r>
    <x v="35"/>
    <x v="42"/>
    <n v="5"/>
    <n v="132.53"/>
    <n v="-662.65"/>
    <n v="115.28"/>
    <n v="130.46"/>
    <n v="151.80000000000007"/>
    <s v=""/>
  </r>
  <r>
    <x v="71"/>
    <x v="42"/>
    <n v="5"/>
    <n v="98.03"/>
    <n v="-490.15"/>
    <n v="115.28"/>
    <n v="130.46"/>
    <n v="151.80000000000007"/>
    <s v=""/>
  </r>
  <r>
    <x v="72"/>
    <x v="43"/>
    <n v="10"/>
    <n v="42.14"/>
    <n v="-421.4"/>
    <n v="42.14"/>
    <n v="54.73"/>
    <n v="125.89999999999996"/>
    <s v=""/>
  </r>
  <r>
    <x v="73"/>
    <x v="44"/>
    <n v="45"/>
    <n v="9.93"/>
    <n v="-446.84999999999997"/>
    <n v="10.449107142857143"/>
    <n v="8.9600000000000009"/>
    <n v="-208.47499999999985"/>
    <s v=""/>
  </r>
  <r>
    <x v="36"/>
    <x v="44"/>
    <n v="45"/>
    <n v="10.67"/>
    <n v="-480.15"/>
    <n v="10.449107142857143"/>
    <n v="8.9600000000000009"/>
    <n v="-208.47499999999985"/>
    <s v=""/>
  </r>
  <r>
    <x v="74"/>
    <x v="44"/>
    <n v="5"/>
    <n v="9.93"/>
    <n v="-49.65"/>
    <n v="10.449107142857143"/>
    <n v="8.9600000000000009"/>
    <n v="-208.47499999999985"/>
    <s v=""/>
  </r>
  <r>
    <x v="75"/>
    <x v="44"/>
    <n v="45"/>
    <n v="10.805"/>
    <n v="-486.22499999999997"/>
    <n v="10.449107142857143"/>
    <n v="8.9600000000000009"/>
    <n v="-208.47499999999985"/>
    <s v=""/>
  </r>
  <r>
    <x v="76"/>
    <x v="45"/>
    <n v="25"/>
    <n v="18"/>
    <n v="-450"/>
    <n v="19"/>
    <n v="19.73"/>
    <n v="54.750000000000028"/>
    <s v=""/>
  </r>
  <r>
    <x v="77"/>
    <x v="45"/>
    <n v="25"/>
    <n v="20"/>
    <n v="-500"/>
    <n v="19"/>
    <n v="19.73"/>
    <n v="54.750000000000028"/>
    <s v=""/>
  </r>
  <r>
    <x v="78"/>
    <x v="45"/>
    <n v="25"/>
    <n v="19"/>
    <n v="-475"/>
    <n v="19"/>
    <n v="19.73"/>
    <n v="54.750000000000028"/>
    <s v=""/>
  </r>
  <r>
    <x v="79"/>
    <x v="46"/>
    <n v="20"/>
    <n v="22.52"/>
    <n v="-450.4"/>
    <n v="22.52"/>
    <n v="24.1"/>
    <n v="31.600000000000037"/>
    <s v=""/>
  </r>
  <r>
    <x v="80"/>
    <x v="47"/>
    <n v="30"/>
    <n v="11.8"/>
    <n v="-354"/>
    <n v="11.8"/>
    <n v="13"/>
    <n v="35.999999999999979"/>
    <s v=""/>
  </r>
  <r>
    <x v="81"/>
    <x v="48"/>
    <n v="30"/>
    <n v="17"/>
    <n v="-510"/>
    <n v="17"/>
    <n v="6.28"/>
    <n v="-321.59999999999997"/>
    <s v=""/>
  </r>
  <r>
    <x v="82"/>
    <x v="49"/>
    <n v="10"/>
    <n v="35.5"/>
    <n v="-355"/>
    <n v="35.5"/>
    <n v="79.3"/>
    <n v="438"/>
    <s v=""/>
  </r>
  <r>
    <x v="83"/>
    <x v="50"/>
    <n v="10"/>
    <n v="39.99"/>
    <n v="-399.90000000000003"/>
    <n v="39.99"/>
    <n v="64.97"/>
    <n v="249.79999999999995"/>
    <s v=""/>
  </r>
  <r>
    <x v="5"/>
    <x v="51"/>
    <n v="10"/>
    <n v="41.42"/>
    <n v="-414.20000000000005"/>
    <n v="38.464999999999996"/>
    <n v="53.46"/>
    <n v="299.90000000000009"/>
    <s v=""/>
  </r>
  <r>
    <x v="22"/>
    <x v="51"/>
    <n v="10"/>
    <n v="35.51"/>
    <n v="-355.09999999999997"/>
    <n v="38.464999999999996"/>
    <n v="53.46"/>
    <n v="299.90000000000009"/>
    <s v=""/>
  </r>
  <r>
    <x v="62"/>
    <x v="52"/>
    <n v="25"/>
    <n v="21.1"/>
    <n v="-527.5"/>
    <n v="17.355428571428572"/>
    <n v="18.809999999999999"/>
    <n v="254.5499999999997"/>
    <s v=""/>
  </r>
  <r>
    <x v="4"/>
    <x v="52"/>
    <n v="30"/>
    <n v="16.34"/>
    <n v="-490.2"/>
    <n v="17.355428571428572"/>
    <n v="18.809999999999999"/>
    <n v="254.5499999999997"/>
    <s v=""/>
  </r>
  <r>
    <x v="84"/>
    <x v="52"/>
    <n v="30"/>
    <n v="17"/>
    <n v="-510"/>
    <n v="17.355428571428572"/>
    <n v="18.809999999999999"/>
    <n v="254.5499999999997"/>
    <s v=""/>
  </r>
  <r>
    <x v="31"/>
    <x v="52"/>
    <n v="30"/>
    <n v="16.72"/>
    <n v="-501.59999999999997"/>
    <n v="17.355428571428572"/>
    <n v="18.809999999999999"/>
    <n v="254.5499999999997"/>
    <s v=""/>
  </r>
  <r>
    <x v="85"/>
    <x v="52"/>
    <n v="5"/>
    <n v="16.98"/>
    <n v="-84.9"/>
    <n v="17.355428571428572"/>
    <n v="18.809999999999999"/>
    <n v="254.5499999999997"/>
    <s v=""/>
  </r>
  <r>
    <x v="85"/>
    <x v="52"/>
    <n v="25"/>
    <n v="17"/>
    <n v="-425"/>
    <n v="17.355428571428572"/>
    <n v="18.809999999999999"/>
    <n v="254.5499999999997"/>
    <s v=""/>
  </r>
  <r>
    <x v="86"/>
    <x v="52"/>
    <n v="30"/>
    <n v="16.600000000000001"/>
    <n v="-498.00000000000006"/>
    <n v="17.355428571428572"/>
    <n v="18.809999999999999"/>
    <n v="254.5499999999997"/>
    <s v=""/>
  </r>
  <r>
    <x v="28"/>
    <x v="53"/>
    <n v="5"/>
    <n v="95.03"/>
    <n v="-475.15"/>
    <n v="95.03"/>
    <n v="111.3"/>
    <n v="81.34999999999998"/>
    <s v=""/>
  </r>
  <r>
    <x v="28"/>
    <x v="54"/>
    <n v="5"/>
    <n v="66.14"/>
    <n v="-330.7"/>
    <n v="65.206666666666678"/>
    <n v="63.57"/>
    <n v="-24.550000000000161"/>
    <s v=""/>
  </r>
  <r>
    <x v="87"/>
    <x v="54"/>
    <n v="5"/>
    <n v="64"/>
    <n v="-320"/>
    <n v="65.206666666666678"/>
    <n v="63.57"/>
    <n v="-24.550000000000161"/>
    <s v=""/>
  </r>
  <r>
    <x v="88"/>
    <x v="54"/>
    <n v="5"/>
    <n v="65.48"/>
    <n v="-327.40000000000003"/>
    <n v="65.206666666666678"/>
    <n v="63.57"/>
    <n v="-24.550000000000161"/>
    <s v=""/>
  </r>
  <r>
    <x v="24"/>
    <x v="55"/>
    <n v="65"/>
    <n v="6.85"/>
    <n v="-445.25"/>
    <n v="6.85"/>
    <n v="5.78"/>
    <n v="-74.899999999999963"/>
    <s v=""/>
  </r>
  <r>
    <x v="24"/>
    <x v="55"/>
    <n v="5"/>
    <n v="6.85"/>
    <n v="-34.25"/>
    <n v="6.85"/>
    <n v="5.78"/>
    <n v="-74.899999999999963"/>
    <s v=""/>
  </r>
  <r>
    <x v="89"/>
    <x v="56"/>
    <n v="5"/>
    <n v="58"/>
    <n v="-290"/>
    <n v="58"/>
    <n v="74.42"/>
    <n v="82.100000000000009"/>
    <s v=""/>
  </r>
  <r>
    <x v="90"/>
    <x v="57"/>
    <n v="5"/>
    <n v="59"/>
    <n v="-295"/>
    <n v="59"/>
    <n v="69"/>
    <n v="50"/>
    <s v=""/>
  </r>
  <r>
    <x v="91"/>
    <x v="58"/>
    <n v="15"/>
    <n v="33.520000000000003"/>
    <n v="-502.80000000000007"/>
    <s v=""/>
    <n v="28.05"/>
    <s v=""/>
    <s v=""/>
  </r>
  <r>
    <x v="35"/>
    <x v="58"/>
    <n v="15"/>
    <n v="32.25"/>
    <n v="-483.75"/>
    <s v=""/>
    <n v="28.05"/>
    <s v=""/>
    <s v=""/>
  </r>
  <r>
    <x v="92"/>
    <x v="58"/>
    <n v="-30"/>
    <n v="28.05"/>
    <n v="841.5"/>
    <s v=""/>
    <n v="28.05"/>
    <s v=""/>
    <n v="-145.05000000000007"/>
  </r>
  <r>
    <x v="36"/>
    <x v="59"/>
    <n v="30"/>
    <n v="15.49"/>
    <n v="-464.7"/>
    <n v="14.765263157894738"/>
    <n v="17.170000000000002"/>
    <n v="228.45000000000005"/>
    <s v=""/>
  </r>
  <r>
    <x v="93"/>
    <x v="59"/>
    <n v="30"/>
    <n v="15.05"/>
    <n v="-451.5"/>
    <n v="14.765263157894738"/>
    <n v="17.170000000000002"/>
    <n v="228.45000000000005"/>
    <s v=""/>
  </r>
  <r>
    <x v="25"/>
    <x v="59"/>
    <n v="35"/>
    <n v="13.9"/>
    <n v="-486.5"/>
    <n v="14.765263157894738"/>
    <n v="17.170000000000002"/>
    <n v="228.45000000000005"/>
    <s v=""/>
  </r>
  <r>
    <x v="94"/>
    <x v="60"/>
    <n v="175"/>
    <n v="2.75"/>
    <n v="-481.25"/>
    <n v="2.7845233644859815"/>
    <n v="2.56"/>
    <n v="-120.12000000000006"/>
    <s v=""/>
  </r>
  <r>
    <x v="36"/>
    <x v="60"/>
    <n v="185"/>
    <n v="2.7"/>
    <n v="-499.50000000000006"/>
    <n v="2.7845233644859815"/>
    <n v="2.56"/>
    <n v="-120.12000000000006"/>
    <s v=""/>
  </r>
  <r>
    <x v="95"/>
    <x v="60"/>
    <n v="175"/>
    <n v="2.9083999999999999"/>
    <n v="-508.96999999999997"/>
    <n v="2.7845233644859815"/>
    <n v="2.56"/>
    <n v="-120.12000000000006"/>
    <s v=""/>
  </r>
  <r>
    <x v="28"/>
    <x v="61"/>
    <n v="30"/>
    <n v="15"/>
    <n v="-450"/>
    <n v="10.763461538461538"/>
    <n v="5.15"/>
    <n v="-729.74999999999989"/>
    <s v=""/>
  </r>
  <r>
    <x v="96"/>
    <x v="61"/>
    <n v="20"/>
    <n v="7.21"/>
    <n v="-144.19999999999999"/>
    <n v="10.763461538461538"/>
    <n v="5.15"/>
    <n v="-729.74999999999989"/>
    <s v=""/>
  </r>
  <r>
    <x v="36"/>
    <x v="61"/>
    <n v="35"/>
    <n v="13.74"/>
    <n v="-480.90000000000003"/>
    <n v="10.763461538461538"/>
    <n v="5.15"/>
    <n v="-729.74999999999989"/>
    <s v=""/>
  </r>
  <r>
    <x v="97"/>
    <x v="61"/>
    <n v="5"/>
    <n v="7.15"/>
    <n v="-35.75"/>
    <n v="10.763461538461538"/>
    <n v="5.15"/>
    <n v="-729.74999999999989"/>
    <s v=""/>
  </r>
  <r>
    <x v="98"/>
    <x v="61"/>
    <n v="40"/>
    <n v="7.21"/>
    <n v="-288.39999999999998"/>
    <n v="10.763461538461538"/>
    <n v="5.15"/>
    <n v="-729.74999999999989"/>
    <s v=""/>
  </r>
  <r>
    <x v="99"/>
    <x v="62"/>
    <n v="100"/>
    <n v="4"/>
    <n v="-400"/>
    <n v="4"/>
    <n v="6.87"/>
    <n v="287"/>
    <s v=""/>
  </r>
  <r>
    <x v="100"/>
    <x v="63"/>
    <n v="75"/>
    <n v="6.3"/>
    <n v="-472.5"/>
    <n v="6.3"/>
    <n v="3.83"/>
    <n v="-49.399999999999991"/>
    <s v=""/>
  </r>
  <r>
    <x v="101"/>
    <x v="63"/>
    <n v="-55"/>
    <n v="6"/>
    <n v="330"/>
    <s v=""/>
    <n v="3.83"/>
    <s v=""/>
    <n v="-142.5"/>
  </r>
  <r>
    <x v="5"/>
    <x v="64"/>
    <n v="10"/>
    <n v="43.19"/>
    <n v="-431.9"/>
    <n v="43.605000000000004"/>
    <n v="50.74"/>
    <n v="142.69999999999996"/>
    <s v=""/>
  </r>
  <r>
    <x v="62"/>
    <x v="64"/>
    <n v="10"/>
    <n v="44.02"/>
    <n v="-440.20000000000005"/>
    <n v="43.605000000000004"/>
    <n v="50.74"/>
    <n v="142.69999999999996"/>
    <s v=""/>
  </r>
  <r>
    <x v="27"/>
    <x v="65"/>
    <n v="5"/>
    <n v="77.099999999999994"/>
    <n v="-385.5"/>
    <n v="79.373333333333321"/>
    <n v="88.73"/>
    <n v="140.35000000000025"/>
    <s v=""/>
  </r>
  <r>
    <x v="28"/>
    <x v="65"/>
    <n v="5"/>
    <n v="80.03"/>
    <n v="-400.15"/>
    <n v="79.373333333333321"/>
    <n v="88.73"/>
    <n v="140.35000000000025"/>
    <s v=""/>
  </r>
  <r>
    <x v="25"/>
    <x v="65"/>
    <n v="5"/>
    <n v="80.989999999999995"/>
    <n v="-404.95"/>
    <n v="79.373333333333321"/>
    <n v="88.73"/>
    <n v="140.35000000000025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E88C3D-CAAD-406B-8704-E7C741E92425}" name="PivotTable3" cacheId="4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4:L8" firstHeaderRow="0" firstDataRow="1" firstDataCol="1"/>
  <pivotFields count="5">
    <pivotField axis="axisRow" allDrilled="1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allDrilled="1" subtotalTop="0" showAll="0" dataSourceSort="1" defaultSubtotal="0">
      <items count="3">
        <item x="0" e="0"/>
        <item x="1" e="0"/>
        <item x="2" e="0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2">
    <field x="1"/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Trade Count" fld="3" subtotal="count" baseField="1" baseItem="1" numFmtId="1"/>
    <dataField name="Stock Count" fld="2" subtotal="count" baseField="1" baseItem="1" numFmtId="1">
      <extLst>
        <ext xmlns:x15="http://schemas.microsoft.com/office/spreadsheetml/2010/11/main" uri="{FABC7310-3BB5-11E1-824E-6D434824019B}">
          <x15:dataField isCountDistinct="1"/>
        </ext>
      </extLst>
    </dataField>
    <dataField name="Capital or Gain" fld="4" baseField="1" baseItem="0" numFmtId="4"/>
  </dataFields>
  <pivotHierarchies count="1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 caption="Trade Count"/>
    <pivotHierarchy dragToData="1" caption="Stock Count"/>
    <pivotHierarchy dragToRow="0" dragToCol="0" dragToPage="0" dragToData="1" caption="Capital or Gain"/>
  </pivotHierarchies>
  <pivotTableStyleInfo name="PivotStyleLight16" showRowHeaders="1" showColHeaders="1" showRowStripes="0" showColStripes="0" showLastColumn="1"/>
  <rowHierarchiesUsage count="2">
    <rowHierarchyUsage hierarchyUsage="9"/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port.xlsm!undervalued_trades">
        <x15:activeTabTopLevelEntity name="[undervalued_trad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EA6FFD-C673-4A73-9B58-D262321D50BC}" name="PivotTable2" cacheId="49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mergeItem="1" createdVersion="8" indent="0" outline="1" outlineData="1" fieldListSortAscending="1">
  <location ref="A4:G75" firstHeaderRow="0" firstDataRow="1" firstDataCol="1"/>
  <pivotFields count="11">
    <pivotField axis="axisRow" numFmtId="22" showAll="0">
      <items count="170">
        <item x="100"/>
        <item x="96"/>
        <item x="97"/>
        <item x="98"/>
        <item x="17"/>
        <item x="53"/>
        <item x="81"/>
        <item x="7"/>
        <item x="42"/>
        <item x="48"/>
        <item m="1" x="167"/>
        <item x="69"/>
        <item x="16"/>
        <item x="56"/>
        <item x="57"/>
        <item x="58"/>
        <item x="55"/>
        <item x="59"/>
        <item x="13"/>
        <item x="99"/>
        <item m="1" x="102"/>
        <item x="70"/>
        <item x="14"/>
        <item x="20"/>
        <item x="43"/>
        <item m="1" x="103"/>
        <item m="1" x="104"/>
        <item m="1" x="107"/>
        <item x="46"/>
        <item x="30"/>
        <item x="64"/>
        <item x="23"/>
        <item x="41"/>
        <item x="75"/>
        <item x="52"/>
        <item x="49"/>
        <item x="26"/>
        <item x="21"/>
        <item x="77"/>
        <item x="10"/>
        <item x="39"/>
        <item m="1" x="105"/>
        <item x="85"/>
        <item x="32"/>
        <item x="67"/>
        <item x="89"/>
        <item x="29"/>
        <item x="37"/>
        <item x="63"/>
        <item x="79"/>
        <item x="8"/>
        <item x="2"/>
        <item x="22"/>
        <item x="90"/>
        <item x="83"/>
        <item x="54"/>
        <item x="15"/>
        <item x="19"/>
        <item x="66"/>
        <item x="95"/>
        <item x="9"/>
        <item x="38"/>
        <item x="1"/>
        <item x="47"/>
        <item x="6"/>
        <item x="76"/>
        <item x="65"/>
        <item x="86"/>
        <item x="25"/>
        <item x="71"/>
        <item x="31"/>
        <item x="74"/>
        <item x="34"/>
        <item x="73"/>
        <item x="68"/>
        <item x="78"/>
        <item x="0"/>
        <item m="1" x="168"/>
        <item x="45"/>
        <item x="50"/>
        <item m="1" x="106"/>
        <item x="51"/>
        <item x="33"/>
        <item x="27"/>
        <item x="84"/>
        <item x="12"/>
        <item x="93"/>
        <item x="80"/>
        <item x="44"/>
        <item x="87"/>
        <item x="82"/>
        <item x="101"/>
        <item x="4"/>
        <item x="36"/>
        <item x="24"/>
        <item x="3"/>
        <item x="11"/>
        <item x="40"/>
        <item x="62"/>
        <item x="28"/>
        <item x="94"/>
        <item x="72"/>
        <item x="91"/>
        <item x="18"/>
        <item m="1" x="166"/>
        <item m="1" x="164"/>
        <item x="61"/>
        <item x="35"/>
        <item x="5"/>
        <item x="88"/>
        <item m="1" x="165"/>
        <item m="1" x="163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x="60"/>
        <item x="92"/>
        <item t="default"/>
      </items>
    </pivotField>
    <pivotField axis="axisRow" showAll="0">
      <items count="11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m="1" x="115"/>
        <item sd="0" m="1" x="66"/>
        <item sd="0" m="1" x="67"/>
        <item sd="0" m="1" x="68"/>
        <item sd="0" m="1" x="69"/>
        <item sd="0" m="1" x="70"/>
        <item sd="0" m="1" x="71"/>
        <item sd="0" m="1" x="72"/>
        <item sd="0" m="1" x="73"/>
        <item sd="0" m="1" x="74"/>
        <item sd="0" m="1" x="75"/>
        <item sd="0" m="1" x="76"/>
        <item sd="0" m="1" x="77"/>
        <item sd="0" m="1" x="78"/>
        <item sd="0" m="1" x="79"/>
        <item sd="0" m="1" x="80"/>
        <item sd="0" m="1" x="81"/>
        <item sd="0" m="1" x="82"/>
        <item sd="0" m="1" x="83"/>
        <item sd="0" m="1" x="84"/>
        <item sd="0" m="1" x="85"/>
        <item sd="0" m="1" x="86"/>
        <item sd="0" m="1" x="87"/>
        <item sd="0" m="1" x="88"/>
        <item sd="0" m="1" x="89"/>
        <item sd="0" m="1" x="90"/>
        <item sd="0" m="1" x="91"/>
        <item sd="0" m="1" x="92"/>
        <item sd="0" m="1" x="93"/>
        <item sd="0" m="1" x="94"/>
        <item sd="0" m="1" x="95"/>
        <item sd="0" m="1" x="96"/>
        <item sd="0" m="1" x="97"/>
        <item sd="0" m="1" x="98"/>
        <item sd="0" m="1" x="99"/>
        <item sd="0" m="1" x="100"/>
        <item sd="0" m="1" x="101"/>
        <item sd="0" m="1" x="102"/>
        <item sd="0" m="1" x="103"/>
        <item sd="0" m="1" x="104"/>
        <item sd="0" m="1" x="105"/>
        <item sd="0" m="1" x="106"/>
        <item sd="0" m="1" x="107"/>
        <item sd="0" m="1" x="108"/>
        <item sd="0" m="1" x="109"/>
        <item sd="0" m="1" x="110"/>
        <item sd="0" m="1" x="111"/>
        <item sd="0" m="1" x="112"/>
        <item sd="0" m="1" x="113"/>
        <item sd="0" m="1" x="114"/>
        <item x="35"/>
        <item t="default" sd="0"/>
      </items>
    </pivotField>
    <pivotField dataField="1" showAll="0"/>
    <pivotField dataField="1" showAll="0"/>
    <pivotField dataField="1" showAll="0"/>
    <pivotField dataField="1" showAll="0"/>
    <pivotField showAll="0"/>
    <pivotField dataField="1" showAll="0"/>
    <pivotField dataField="1"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6">
        <item x="2"/>
        <item x="0"/>
        <item x="1"/>
        <item x="3"/>
        <item x="4"/>
        <item t="default"/>
      </items>
    </pivotField>
  </pivotFields>
  <rowFields count="4">
    <field x="1"/>
    <field x="10"/>
    <field x="9"/>
    <field x="0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115"/>
    </i>
    <i r="1">
      <x/>
    </i>
    <i r="2">
      <x v="1"/>
    </i>
    <i r="3">
      <x v="167"/>
    </i>
    <i r="2">
      <x v="10"/>
    </i>
    <i r="3">
      <x v="106"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Total Qty" fld="2" baseField="1" baseItem="1" numFmtId="3"/>
    <dataField name="Max Trade Price" fld="3" subtotal="max" baseField="1" baseItem="6" numFmtId="4"/>
    <dataField name="Average Price" fld="5" subtotal="max" baseField="1" baseItem="2" numFmtId="4"/>
    <dataField name="Capital &amp; Gain" fld="4" baseField="1" baseItem="6" numFmtId="4"/>
    <dataField name="Open PL" fld="7" subtotal="max" baseField="1" baseItem="3" numFmtId="4"/>
    <dataField name="Realized  PL" fld="8" subtotal="max" baseField="1" baseItem="7" numFmtId="4"/>
  </dataFields>
  <formats count="15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1" type="button" dataOnly="0" labelOnly="1" outline="0" axis="axisRow" fieldPosition="0"/>
    </format>
    <format dxfId="39">
      <pivotArea dataOnly="0" labelOnly="1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8">
      <pivotArea dataOnly="0" labelOnly="1" fieldPosition="0">
        <references count="1">
          <reference field="1" count="1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</reference>
        </references>
      </pivotArea>
    </format>
    <format dxfId="37">
      <pivotArea field="1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5">
      <pivotArea field="1" type="button" dataOnly="0" labelOnly="1" outline="0" axis="axisRow" fieldPosition="0"/>
    </format>
    <format dxfId="34">
      <pivotArea dataOnly="0" labelOnly="1" outline="0" fieldPosition="0">
        <references count="1">
          <reference field="4294967294" count="2">
            <x v="0"/>
            <x v="5"/>
          </reference>
        </references>
      </pivotArea>
    </format>
    <format dxfId="33">
      <pivotArea outline="0" fieldPosition="0">
        <references count="1">
          <reference field="4294967294" count="1">
            <x v="4"/>
          </reference>
        </references>
      </pivotArea>
    </format>
    <format dxfId="32">
      <pivotArea outline="0" fieldPosition="0">
        <references count="1">
          <reference field="4294967294" count="1">
            <x v="5"/>
          </reference>
        </references>
      </pivotArea>
    </format>
    <format dxfId="31">
      <pivotArea outline="0" fieldPosition="0">
        <references count="1">
          <reference field="4294967294" count="1">
            <x v="1"/>
          </reference>
        </references>
      </pivotArea>
    </format>
    <format dxfId="30">
      <pivotArea outline="0" fieldPosition="0">
        <references count="1">
          <reference field="4294967294" count="1">
            <x v="2"/>
          </reference>
        </references>
      </pivotArea>
    </format>
    <format dxfId="29">
      <pivotArea outline="0" fieldPosition="0">
        <references count="1">
          <reference field="4294967294" count="1">
            <x v="0"/>
          </reference>
        </references>
      </pivotArea>
    </format>
    <format dxfId="28">
      <pivotArea outline="0" fieldPosition="0">
        <references count="1">
          <reference field="4294967294" count="1">
            <x v="3"/>
          </reference>
        </references>
      </pivotArea>
    </format>
  </formats>
  <pivotTableStyleInfo name="PivotStyleLight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6A3957E7-4989-4AF7-81E6-17B5BC005955}" autoFormatId="16" applyNumberFormats="0" applyBorderFormats="0" applyFontFormats="0" applyPatternFormats="0" applyAlignmentFormats="0" applyWidthHeightFormats="0">
  <queryTableRefresh nextId="23">
    <queryTableFields count="5">
      <queryTableField id="4" name="Label" tableColumnId="4"/>
      <queryTableField id="1" name="Symbol" tableColumnId="1"/>
      <queryTableField id="10" name="Open P&amp;L Weight" tableColumnId="6"/>
      <queryTableField id="21" name="Capital or P&amp;L" tableColumnId="3"/>
      <queryTableField id="2" name="Open P&amp;L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51858B32-A352-4417-B1DF-9511C4DE3A66}" autoFormatId="16" applyNumberFormats="0" applyBorderFormats="0" applyFontFormats="0" applyPatternFormats="0" applyAlignmentFormats="0" applyWidthHeightFormats="0">
  <queryTableRefresh nextId="12">
    <queryTableFields count="5">
      <queryTableField id="1" name="Label" tableColumnId="1"/>
      <queryTableField id="2" name="Symbol" tableColumnId="2"/>
      <queryTableField id="3" name="Investment Weight" tableColumnId="3"/>
      <queryTableField id="10" name="Capital or P&amp;L" tableColumnId="4"/>
      <queryTableField id="5" name="Open P&amp;L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CE451418-18DA-40DF-A4C8-BA3E3371C0E0}" autoFormatId="16" applyNumberFormats="0" applyBorderFormats="0" applyFontFormats="0" applyPatternFormats="0" applyAlignmentFormats="0" applyWidthHeightFormats="0">
  <queryTableRefresh nextId="35" unboundColumnsRight="4">
    <queryTableFields count="9">
      <queryTableField id="7" name="Exec Time" tableColumnId="7"/>
      <queryTableField id="8" name="Symbol" tableColumnId="8"/>
      <queryTableField id="9" name="Qty" tableColumnId="9"/>
      <queryTableField id="10" name="Price" tableColumnId="10"/>
      <queryTableField id="34" name="Capital or Gain" tableColumnId="1"/>
      <queryTableField id="22" dataBound="0" tableColumnId="3"/>
      <queryTableField id="23" dataBound="0" tableColumnId="4"/>
      <queryTableField id="24" dataBound="0" tableColumnId="5"/>
      <queryTableField id="25" dataBound="0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D94C7044-7A60-45DB-AF21-6AD109AD9655}" autoFormatId="16" applyNumberFormats="0" applyBorderFormats="0" applyFontFormats="0" applyPatternFormats="0" applyAlignmentFormats="0" applyWidthHeightFormats="0">
  <queryTableRefresh nextId="26">
    <queryTableFields count="7">
      <queryTableField id="1" name="Symbol" tableColumnId="1"/>
      <queryTableField id="12" name="Current Qty" tableColumnId="2"/>
      <queryTableField id="16" dataBound="0" tableColumnId="10"/>
      <queryTableField id="23" name="Capital or P&amp;L" tableColumnId="4"/>
      <queryTableField id="22" dataBound="0" tableColumnId="3"/>
      <queryTableField id="13" name="Avg Price" tableColumnId="8"/>
      <queryTableField id="14" name="Realized P&amp;L" tableColumnId="9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261A1E-D82C-478D-9A60-C86C849BC9B3}" name="DynamicPath" displayName="DynamicPath" ref="A1:A2" totalsRowShown="0">
  <autoFilter ref="A1:A2" xr:uid="{34261A1E-D82C-478D-9A60-C86C849BC9B3}"/>
  <tableColumns count="1">
    <tableColumn id="1" xr3:uid="{FB685C1D-A835-4ADB-B435-E2D2621482D0}" name="Path">
      <calculatedColumnFormula array="1">LEFT(CELL("filename"),SEARCH("\[",CELL("filename")))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D07CA9-4F4B-4A25-810E-1B00D8281B93}" name="open_pl_weight" displayName="open_pl_weight" ref="A1:E67" tableType="queryTable" totalsRowShown="0">
  <autoFilter ref="A1:E67" xr:uid="{6BD07CA9-4F4B-4A25-810E-1B00D8281B93}"/>
  <sortState xmlns:xlrd2="http://schemas.microsoft.com/office/spreadsheetml/2017/richdata2" ref="A2:E67">
    <sortCondition descending="1" ref="A1:A67"/>
  </sortState>
  <tableColumns count="5">
    <tableColumn id="4" xr3:uid="{4E5A8584-760F-4450-85CF-0886A446E440}" uniqueName="4" name="Label" queryTableFieldId="4" dataDxfId="5" dataCellStyle="Percent"/>
    <tableColumn id="1" xr3:uid="{E7030DCB-F3FA-44CF-B44F-1860EA22FF9E}" uniqueName="1" name="Symbol" queryTableFieldId="1" dataDxfId="4" dataCellStyle="Percent"/>
    <tableColumn id="6" xr3:uid="{BBCA5263-9CFF-4070-9E95-F0282EB2A60C}" uniqueName="6" name="Open P&amp;L Weight" queryTableFieldId="10" dataDxfId="3" dataCellStyle="Percent"/>
    <tableColumn id="3" xr3:uid="{C3A049D2-EF2F-48E7-A718-8893E3896217}" uniqueName="3" name="Capital or P&amp;L" queryTableFieldId="21" dataDxfId="2" dataCellStyle="Percent"/>
    <tableColumn id="2" xr3:uid="{734FCD8F-9186-4B45-991E-5B70D1ABA03E}" uniqueName="2" name="Open P&amp;L" queryTableFieldId="2" dataDxfId="4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427FA4-FAFD-4E65-B353-89B99EAB9E97}" name="investment_weight" displayName="investment_weight" ref="H1:L67" tableType="queryTable" totalsRowShown="0">
  <autoFilter ref="H1:L67" xr:uid="{75427FA4-FAFD-4E65-B353-89B99EAB9E97}"/>
  <sortState xmlns:xlrd2="http://schemas.microsoft.com/office/spreadsheetml/2017/richdata2" ref="H2:L67">
    <sortCondition descending="1" ref="H1:H67"/>
  </sortState>
  <tableColumns count="5">
    <tableColumn id="1" xr3:uid="{62C7E699-902B-46D9-BD27-94DE4B911C79}" uniqueName="1" name="Label" queryTableFieldId="1"/>
    <tableColumn id="2" xr3:uid="{C0AF7443-1581-4CBA-94B1-36D9040CAD0E}" uniqueName="2" name="Symbol" queryTableFieldId="2"/>
    <tableColumn id="3" xr3:uid="{219028D5-3A38-47E7-9479-99BA21ED80D2}" uniqueName="3" name="Investment Weight" queryTableFieldId="3" dataDxfId="1" dataCellStyle="Percent"/>
    <tableColumn id="4" xr3:uid="{CF6695EA-035E-450A-9818-21A58A156EE8}" uniqueName="4" name="Capital or P&amp;L" queryTableFieldId="10" dataDxfId="0" dataCellStyle="Percent"/>
    <tableColumn id="5" xr3:uid="{16BAA556-3EAE-41C6-9B49-B880DB651821}" uniqueName="5" name="Open P&amp;L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3F2650-87C8-46A1-9368-DA40978948DC}" name="trades" displayName="trades" ref="A1:I137" tableType="queryTable" totalsRowShown="0">
  <autoFilter ref="A1:I137" xr:uid="{113F2650-87C8-46A1-9368-DA40978948DC}"/>
  <sortState xmlns:xlrd2="http://schemas.microsoft.com/office/spreadsheetml/2017/richdata2" ref="A2:I137">
    <sortCondition ref="B1:B137"/>
  </sortState>
  <tableColumns count="9">
    <tableColumn id="7" xr3:uid="{23B1B625-E096-48FF-8012-0F592367D55B}" uniqueName="7" name="Exec Time" queryTableFieldId="7" dataDxfId="13"/>
    <tableColumn id="8" xr3:uid="{73811826-3DC1-44C8-8519-00D40F3712BA}" uniqueName="8" name="Symbol" queryTableFieldId="8" dataDxfId="12"/>
    <tableColumn id="9" xr3:uid="{4A146287-63FD-499D-8DEC-C7EB3F01E1E0}" uniqueName="9" name="Qty" queryTableFieldId="9"/>
    <tableColumn id="10" xr3:uid="{709C901A-4A7A-4ED6-9EB9-E431EC0E1806}" uniqueName="10" name="Price" queryTableFieldId="10"/>
    <tableColumn id="1" xr3:uid="{36B1F1F3-7AA4-4E16-8636-A247B4890812}" uniqueName="1" name="Capital or Gain" queryTableFieldId="34"/>
    <tableColumn id="3" xr3:uid="{AA6A45B0-A721-4CC5-9117-FF68EA34049A}" uniqueName="3" name="Avg Price" queryTableFieldId="22" dataDxfId="11">
      <calculatedColumnFormula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calculatedColumnFormula>
    </tableColumn>
    <tableColumn id="4" xr3:uid="{35873AE0-4F14-4264-A3D9-FDFD128E0F7A}" uniqueName="4" name="Current Price" queryTableFieldId="23" dataDxfId="10">
      <calculatedColumnFormula>RTD("tos.rtd", , "LAST", trades[[#This Row],[Symbol]])</calculatedColumnFormula>
    </tableColumn>
    <tableColumn id="5" xr3:uid="{FB396E8C-431D-4083-B1E0-84ECB24AA57A}" uniqueName="5" name="Open P&amp;L" queryTableFieldId="24" dataDxfId="9">
      <calculatedColumnFormula>IFERROR((trades[[#This Row],[Current Price]]-trades[[#This Row],[Avg Price]])*SUMIF(trades[Symbol],trades[[#This Row],[Symbol]],trades[Qty]),"")</calculatedColumnFormula>
    </tableColumn>
    <tableColumn id="6" xr3:uid="{F7953519-1184-4A94-A5B4-3CDB60F25B72}" uniqueName="6" name="Realized  P&amp;L" queryTableFieldId="25" dataDxfId="8">
      <calculatedColumnFormula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34BB017-46DE-49B5-B7E3-02F6BBD39449}" name="stocks" displayName="stocks" ref="A4:G70" tableType="queryTable" totalsRowShown="0">
  <autoFilter ref="A4:G70" xr:uid="{034BB017-46DE-49B5-B7E3-02F6BBD39449}"/>
  <sortState xmlns:xlrd2="http://schemas.microsoft.com/office/spreadsheetml/2017/richdata2" ref="A5:G70">
    <sortCondition ref="A4:A70"/>
  </sortState>
  <tableColumns count="7">
    <tableColumn id="1" xr3:uid="{AE65660A-F1D5-48FF-928A-B9FADD24B842}" uniqueName="1" name="Symbol" queryTableFieldId="1" dataDxfId="43"/>
    <tableColumn id="2" xr3:uid="{C9E73615-DBE6-451E-92F9-4B52AB73BF60}" uniqueName="2" name="Current Qty" queryTableFieldId="12"/>
    <tableColumn id="10" xr3:uid="{A6F9B7F8-4362-423B-AC6B-C221C66DF037}" uniqueName="10" name="Current Price" queryTableFieldId="16">
      <calculatedColumnFormula>RTD("tos.rtd", , "LAST", stocks[[#This Row],[Symbol]])</calculatedColumnFormula>
    </tableColumn>
    <tableColumn id="4" xr3:uid="{92DF65ED-A617-4099-903D-C3374134238C}" uniqueName="4" name="Capital or P&amp;L" queryTableFieldId="23"/>
    <tableColumn id="3" xr3:uid="{75FEE25F-E9F8-458F-92E0-ECB8F38B973E}" uniqueName="3" name="Open P&amp;L" queryTableFieldId="22" dataDxfId="7">
      <calculatedColumnFormula>IFERROR((stocks[[#This Row],[Current Price]]-stocks[[#This Row],[Avg Price]])*stocks[[#This Row],[Current Qty]],"")</calculatedColumnFormula>
    </tableColumn>
    <tableColumn id="8" xr3:uid="{1FF881DC-A8D2-47D0-9C52-C1924EDD0766}" uniqueName="8" name="Avg Price" queryTableFieldId="13"/>
    <tableColumn id="9" xr3:uid="{01FFA873-E353-44D8-8C83-42B178DF1163}" uniqueName="9" name="Realized P&amp;L" queryTableFieldId="14" dataDxfId="6"/>
  </tableColumns>
  <tableStyleInfo name="TableStyleLight1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E26758-C9A0-4A71-B8AD-C7D12D9B9FEF}" name="monthly_pl" displayName="monthly_pl" ref="A3:C19" totalsRowCount="1" headerRowDxfId="27">
  <autoFilter ref="A3:C18" xr:uid="{460051CA-F394-47FA-AEB2-2E3959D693B6}"/>
  <tableColumns count="3">
    <tableColumn id="1" xr3:uid="{7FE19C1B-CD7F-45FD-BC8D-588D95703151}" name="Month" totalsRowLabel="Total" dataDxfId="26" totalsRowDxfId="25"/>
    <tableColumn id="2" xr3:uid="{90090ED8-B9C9-4FCC-8295-5982C9FCEBDB}" name="Gross P&amp;L" totalsRowFunction="sum" dataDxfId="24" totalsRowDxfId="23">
      <calculatedColumnFormula>SUMIFS(trades[Realized  P&amp;L], trades[Exec Time], "&gt;="&amp;monthly_pl[[#This Row],[Month]], trades[Exec Time], "&lt;="&amp;EOMONTH(monthly_pl[[#This Row],[Month]],0), trades[Open P&amp;L], "")</calculatedColumnFormula>
    </tableColumn>
    <tableColumn id="3" xr3:uid="{3A523357-5EEA-4A29-B3E3-1A37C5BD3F85}" name="Cumulative P&amp;L" dataDxfId="22" totalsRowDxfId="21">
      <calculatedColumnFormula>SUM($B$4:monthly_pl[[#This Row],[Gross P&amp;L]])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F354428-4B06-4AC0-8DFA-4FB7DA150ACD}" name="monthly_pl9" displayName="monthly_pl9" ref="A22:C35" totalsRowCount="1" headerRowDxfId="20">
  <autoFilter ref="A22:C34" xr:uid="{9F354428-4B06-4AC0-8DFA-4FB7DA150ACD}"/>
  <tableColumns count="3">
    <tableColumn id="1" xr3:uid="{BF491D01-8C5D-41F4-BA00-D9A05B62672C}" name="Month" totalsRowLabel="Total" dataDxfId="19" totalsRowDxfId="18"/>
    <tableColumn id="2" xr3:uid="{6FDA88A7-6C85-44FD-A7C2-A95343FF1A1D}" name="Gross P&amp;L" totalsRowFunction="sum" dataDxfId="17" totalsRowDxfId="16">
      <calculatedColumnFormula>SUMIFS(trades[Realized  P&amp;L], trades[Exec Time], "&gt;="&amp;monthly_pl9[[#This Row],[Month]], trades[Exec Time], "&lt;="&amp;EOMONTH(monthly_pl9[[#This Row],[Month]],0), trades[Open P&amp;L], "")</calculatedColumnFormula>
    </tableColumn>
    <tableColumn id="3" xr3:uid="{3C5DD553-869C-446C-82AE-DC2CDA7CA7AE}" name="Cumulative P&amp;L" dataDxfId="15" totalsRowDxfId="14">
      <calculatedColumnFormula>SUM($B$4:monthly_pl9[[#This Row],[Gross P&amp;L]])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7F7F7F"/>
      </a:accent4>
      <a:accent5>
        <a:srgbClr val="C00000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06A0E-EE94-4F00-843D-430F43EF17C9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45" bestFit="1" customWidth="1"/>
  </cols>
  <sheetData>
    <row r="1" spans="1:1" x14ac:dyDescent="0.25">
      <c r="A1" t="s">
        <v>0</v>
      </c>
    </row>
    <row r="2" spans="1:1" x14ac:dyDescent="0.25">
      <c r="A2" t="str" cm="1">
        <f t="array" aca="1" ref="A2" ca="1">LEFT(CELL("filename"),SEARCH("\[",CELL("filename")))</f>
        <v>D:\PROJECTS\Undervalued Stock Trade Tracking_Masked\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0FD6D-40F5-4660-8D5E-322A26BEE35F}">
  <sheetPr codeName="Sheet3"/>
  <dimension ref="A1:U67"/>
  <sheetViews>
    <sheetView workbookViewId="0">
      <selection activeCell="G56" sqref="G56"/>
    </sheetView>
  </sheetViews>
  <sheetFormatPr defaultRowHeight="15" x14ac:dyDescent="0.25"/>
  <cols>
    <col min="1" max="1" width="10.140625" bestFit="1" customWidth="1"/>
    <col min="2" max="2" width="10" bestFit="1" customWidth="1"/>
    <col min="3" max="3" width="19" bestFit="1" customWidth="1"/>
    <col min="4" max="4" width="16" bestFit="1" customWidth="1"/>
    <col min="5" max="7" width="12" bestFit="1" customWidth="1"/>
    <col min="8" max="8" width="10.140625" bestFit="1" customWidth="1"/>
    <col min="9" max="9" width="10" bestFit="1" customWidth="1"/>
    <col min="10" max="10" width="20.7109375" bestFit="1" customWidth="1"/>
    <col min="11" max="11" width="16" bestFit="1" customWidth="1"/>
    <col min="12" max="12" width="12" bestFit="1" customWidth="1"/>
    <col min="13" max="13" width="20" bestFit="1" customWidth="1"/>
    <col min="14" max="16" width="12" bestFit="1" customWidth="1"/>
    <col min="17" max="17" width="12.28515625" bestFit="1" customWidth="1"/>
    <col min="18" max="18" width="12" customWidth="1"/>
  </cols>
  <sheetData>
    <row r="1" spans="1:21" x14ac:dyDescent="0.25">
      <c r="A1" t="s">
        <v>18</v>
      </c>
      <c r="B1" t="s">
        <v>2</v>
      </c>
      <c r="C1" t="s">
        <v>29</v>
      </c>
      <c r="D1" t="s">
        <v>108</v>
      </c>
      <c r="E1" t="s">
        <v>8</v>
      </c>
      <c r="H1" t="s">
        <v>18</v>
      </c>
      <c r="I1" t="s">
        <v>2</v>
      </c>
      <c r="J1" t="s">
        <v>27</v>
      </c>
      <c r="K1" t="s">
        <v>108</v>
      </c>
      <c r="L1" t="s">
        <v>8</v>
      </c>
      <c r="N1" s="36" t="s">
        <v>101</v>
      </c>
      <c r="O1" s="37"/>
      <c r="P1" s="37"/>
      <c r="Q1" s="37"/>
      <c r="R1" s="37"/>
      <c r="S1" s="37"/>
      <c r="T1" s="37"/>
      <c r="U1" s="38"/>
    </row>
    <row r="2" spans="1:21" x14ac:dyDescent="0.25">
      <c r="A2" s="9" t="s">
        <v>19</v>
      </c>
      <c r="B2" s="9" t="s">
        <v>35</v>
      </c>
      <c r="C2" s="19">
        <v>2.95283162767284E-2</v>
      </c>
      <c r="D2" s="9">
        <v>-1991.14</v>
      </c>
      <c r="E2">
        <v>415</v>
      </c>
      <c r="H2" t="s">
        <v>19</v>
      </c>
      <c r="I2" t="s">
        <v>35</v>
      </c>
      <c r="J2" s="19">
        <v>3.75192670784514E-2</v>
      </c>
      <c r="K2" s="9">
        <v>-1991.14</v>
      </c>
      <c r="L2">
        <v>415</v>
      </c>
      <c r="N2" s="39"/>
      <c r="O2" s="40"/>
      <c r="P2" s="40"/>
      <c r="Q2" s="40"/>
      <c r="R2" s="40"/>
      <c r="S2" s="40"/>
      <c r="T2" s="40"/>
      <c r="U2" s="41"/>
    </row>
    <row r="3" spans="1:21" x14ac:dyDescent="0.25">
      <c r="A3" s="9" t="s">
        <v>19</v>
      </c>
      <c r="B3" s="9" t="s">
        <v>36</v>
      </c>
      <c r="C3" s="19">
        <v>1.5546836401120799E-3</v>
      </c>
      <c r="D3" s="9">
        <v>-400</v>
      </c>
      <c r="E3">
        <v>21.850000000000023</v>
      </c>
      <c r="H3" t="s">
        <v>19</v>
      </c>
      <c r="I3" t="s">
        <v>36</v>
      </c>
      <c r="J3" s="19">
        <v>7.5372434039698601E-3</v>
      </c>
      <c r="K3" s="9">
        <v>-400</v>
      </c>
      <c r="L3">
        <v>21.850000000000023</v>
      </c>
      <c r="N3" s="39"/>
      <c r="O3" s="40"/>
      <c r="P3" s="40"/>
      <c r="Q3" s="40"/>
      <c r="R3" s="40"/>
      <c r="S3" s="40"/>
      <c r="T3" s="40"/>
      <c r="U3" s="41"/>
    </row>
    <row r="4" spans="1:21" x14ac:dyDescent="0.25">
      <c r="A4" s="9" t="s">
        <v>19</v>
      </c>
      <c r="B4" s="9" t="s">
        <v>38</v>
      </c>
      <c r="C4" s="19">
        <v>4.8383747152229602E-2</v>
      </c>
      <c r="D4" s="9">
        <v>-521</v>
      </c>
      <c r="E4">
        <v>680</v>
      </c>
      <c r="H4" t="s">
        <v>19</v>
      </c>
      <c r="I4" t="s">
        <v>38</v>
      </c>
      <c r="J4" s="19">
        <v>9.81725953367075E-3</v>
      </c>
      <c r="K4" s="9">
        <v>-521</v>
      </c>
      <c r="L4">
        <v>680</v>
      </c>
      <c r="N4" s="39"/>
      <c r="O4" s="40"/>
      <c r="P4" s="40"/>
      <c r="Q4" s="40"/>
      <c r="R4" s="40"/>
      <c r="S4" s="40"/>
      <c r="T4" s="40"/>
      <c r="U4" s="41"/>
    </row>
    <row r="5" spans="1:21" x14ac:dyDescent="0.25">
      <c r="A5" s="9" t="s">
        <v>19</v>
      </c>
      <c r="B5" s="9" t="s">
        <v>40</v>
      </c>
      <c r="C5" s="19">
        <v>1.43087816945785E-2</v>
      </c>
      <c r="D5" s="9">
        <v>-389.5</v>
      </c>
      <c r="E5">
        <v>201.1</v>
      </c>
      <c r="H5" t="s">
        <v>19</v>
      </c>
      <c r="I5" t="s">
        <v>40</v>
      </c>
      <c r="J5" s="19">
        <v>7.3393907646156602E-3</v>
      </c>
      <c r="K5" s="9">
        <v>-389.5</v>
      </c>
      <c r="L5">
        <v>201.1</v>
      </c>
      <c r="N5" s="39"/>
      <c r="O5" s="40"/>
      <c r="P5" s="40"/>
      <c r="Q5" s="40"/>
      <c r="R5" s="40"/>
      <c r="S5" s="40"/>
      <c r="T5" s="40"/>
      <c r="U5" s="41"/>
    </row>
    <row r="6" spans="1:21" ht="15.75" thickBot="1" x14ac:dyDescent="0.3">
      <c r="A6" s="9" t="s">
        <v>19</v>
      </c>
      <c r="B6" s="9" t="s">
        <v>41</v>
      </c>
      <c r="C6" s="19">
        <v>1.12278754420909E-2</v>
      </c>
      <c r="D6" s="9">
        <v>-1239.9000000000001</v>
      </c>
      <c r="E6">
        <v>157.80000000000001</v>
      </c>
      <c r="H6" t="s">
        <v>19</v>
      </c>
      <c r="I6" t="s">
        <v>41</v>
      </c>
      <c r="J6" s="19">
        <v>2.3363570241455599E-2</v>
      </c>
      <c r="K6" s="9">
        <v>-1239.9000000000001</v>
      </c>
      <c r="L6">
        <v>157.80000000000001</v>
      </c>
      <c r="N6" s="42"/>
      <c r="O6" s="43"/>
      <c r="P6" s="43"/>
      <c r="Q6" s="43"/>
      <c r="R6" s="43"/>
      <c r="S6" s="43"/>
      <c r="T6" s="43"/>
      <c r="U6" s="44"/>
    </row>
    <row r="7" spans="1:21" x14ac:dyDescent="0.25">
      <c r="A7" s="9" t="s">
        <v>19</v>
      </c>
      <c r="B7" s="9" t="s">
        <v>42</v>
      </c>
      <c r="C7" s="19">
        <v>4.04502356706508E-2</v>
      </c>
      <c r="D7" s="9">
        <v>-353.1</v>
      </c>
      <c r="E7">
        <v>568.5</v>
      </c>
      <c r="H7" t="s">
        <v>19</v>
      </c>
      <c r="I7" t="s">
        <v>42</v>
      </c>
      <c r="J7" s="19">
        <v>6.6535016148544001E-3</v>
      </c>
      <c r="K7" s="9">
        <v>-353.1</v>
      </c>
      <c r="L7">
        <v>568.5</v>
      </c>
      <c r="N7" s="30"/>
      <c r="O7" s="30"/>
      <c r="P7" s="30"/>
      <c r="Q7" s="30"/>
      <c r="R7" s="30"/>
      <c r="S7" s="30"/>
      <c r="T7" s="30"/>
      <c r="U7" s="30"/>
    </row>
    <row r="8" spans="1:21" ht="15.75" thickBot="1" x14ac:dyDescent="0.3">
      <c r="A8" s="9" t="s">
        <v>19</v>
      </c>
      <c r="B8" s="9" t="s">
        <v>43</v>
      </c>
      <c r="C8" s="19">
        <v>9.8937647669375406E-2</v>
      </c>
      <c r="D8" s="9">
        <v>-1251.75</v>
      </c>
      <c r="E8">
        <v>1390.4999999999998</v>
      </c>
      <c r="H8" t="s">
        <v>19</v>
      </c>
      <c r="I8" t="s">
        <v>43</v>
      </c>
      <c r="J8" s="19">
        <v>2.35868610772982E-2</v>
      </c>
      <c r="K8" s="9">
        <v>-1251.75</v>
      </c>
      <c r="L8">
        <v>1390.4999999999998</v>
      </c>
    </row>
    <row r="9" spans="1:21" x14ac:dyDescent="0.25">
      <c r="A9" s="9" t="s">
        <v>19</v>
      </c>
      <c r="B9" s="9" t="s">
        <v>44</v>
      </c>
      <c r="C9" s="19">
        <v>4.6853966911386997E-3</v>
      </c>
      <c r="D9" s="9">
        <v>-349.15</v>
      </c>
      <c r="E9">
        <v>65.850000000000009</v>
      </c>
      <c r="H9" t="s">
        <v>19</v>
      </c>
      <c r="I9" t="s">
        <v>44</v>
      </c>
      <c r="J9" s="19">
        <v>6.5790713362402003E-3</v>
      </c>
      <c r="K9" s="9">
        <v>-349.15</v>
      </c>
      <c r="L9">
        <v>65.850000000000009</v>
      </c>
      <c r="N9" s="36" t="s">
        <v>109</v>
      </c>
      <c r="O9" s="37"/>
      <c r="P9" s="37"/>
      <c r="Q9" s="37"/>
      <c r="R9" s="37"/>
      <c r="S9" s="37"/>
      <c r="T9" s="37"/>
      <c r="U9" s="38"/>
    </row>
    <row r="10" spans="1:21" x14ac:dyDescent="0.25">
      <c r="A10" s="9" t="s">
        <v>19</v>
      </c>
      <c r="B10" s="9" t="s">
        <v>49</v>
      </c>
      <c r="C10" s="19">
        <v>5.9625853108188796E-3</v>
      </c>
      <c r="D10" s="9">
        <v>-370</v>
      </c>
      <c r="E10">
        <v>83.800000000000026</v>
      </c>
      <c r="H10" t="s">
        <v>19</v>
      </c>
      <c r="I10" t="s">
        <v>49</v>
      </c>
      <c r="J10" s="19">
        <v>6.9719501486721199E-3</v>
      </c>
      <c r="K10" s="9">
        <v>-370</v>
      </c>
      <c r="L10">
        <v>83.800000000000026</v>
      </c>
      <c r="N10" s="39"/>
      <c r="O10" s="40"/>
      <c r="P10" s="40"/>
      <c r="Q10" s="40"/>
      <c r="R10" s="40"/>
      <c r="S10" s="40"/>
      <c r="T10" s="40"/>
      <c r="U10" s="41"/>
    </row>
    <row r="11" spans="1:21" x14ac:dyDescent="0.25">
      <c r="A11" s="9" t="s">
        <v>19</v>
      </c>
      <c r="B11" s="9" t="s">
        <v>50</v>
      </c>
      <c r="C11" s="19">
        <v>5.4147105268892203E-3</v>
      </c>
      <c r="D11" s="9">
        <v>-448.45</v>
      </c>
      <c r="E11">
        <v>76.099999999999994</v>
      </c>
      <c r="H11" t="s">
        <v>19</v>
      </c>
      <c r="I11" t="s">
        <v>50</v>
      </c>
      <c r="J11" s="19">
        <v>8.45019201127571E-3</v>
      </c>
      <c r="K11" s="9">
        <v>-448.45</v>
      </c>
      <c r="L11">
        <v>76.099999999999994</v>
      </c>
      <c r="N11" s="39"/>
      <c r="O11" s="40"/>
      <c r="P11" s="40"/>
      <c r="Q11" s="40"/>
      <c r="R11" s="40"/>
      <c r="S11" s="40"/>
      <c r="T11" s="40"/>
      <c r="U11" s="41"/>
    </row>
    <row r="12" spans="1:21" ht="15.75" thickBot="1" x14ac:dyDescent="0.3">
      <c r="A12" s="9" t="s">
        <v>19</v>
      </c>
      <c r="B12" s="9" t="s">
        <v>51</v>
      </c>
      <c r="C12" s="19">
        <v>8.7446507720720795E-3</v>
      </c>
      <c r="D12" s="9">
        <v>-500</v>
      </c>
      <c r="E12">
        <v>122.89999999999999</v>
      </c>
      <c r="H12" t="s">
        <v>19</v>
      </c>
      <c r="I12" t="s">
        <v>51</v>
      </c>
      <c r="J12" s="19">
        <v>9.4215542549623294E-3</v>
      </c>
      <c r="K12" s="9">
        <v>-500</v>
      </c>
      <c r="L12">
        <v>122.89999999999999</v>
      </c>
      <c r="N12" s="42"/>
      <c r="O12" s="43"/>
      <c r="P12" s="43"/>
      <c r="Q12" s="43"/>
      <c r="R12" s="43"/>
      <c r="S12" s="43"/>
      <c r="T12" s="43"/>
      <c r="U12" s="44"/>
    </row>
    <row r="13" spans="1:21" x14ac:dyDescent="0.25">
      <c r="A13" s="9" t="s">
        <v>19</v>
      </c>
      <c r="B13" s="9" t="s">
        <v>53</v>
      </c>
      <c r="C13" s="19">
        <v>2.9168995801553702E-2</v>
      </c>
      <c r="D13" s="9">
        <v>-487.8</v>
      </c>
      <c r="E13">
        <v>409.95</v>
      </c>
      <c r="H13" t="s">
        <v>19</v>
      </c>
      <c r="I13" t="s">
        <v>53</v>
      </c>
      <c r="J13" s="19">
        <v>9.1916683311412499E-3</v>
      </c>
      <c r="K13" s="9">
        <v>-487.8</v>
      </c>
      <c r="L13">
        <v>409.95</v>
      </c>
    </row>
    <row r="14" spans="1:21" x14ac:dyDescent="0.25">
      <c r="A14" s="9" t="s">
        <v>19</v>
      </c>
      <c r="B14" s="9" t="s">
        <v>56</v>
      </c>
      <c r="C14" s="19">
        <v>5.9056632553456702E-3</v>
      </c>
      <c r="D14" s="9">
        <v>-445</v>
      </c>
      <c r="E14">
        <v>82.999999999999972</v>
      </c>
      <c r="H14" t="s">
        <v>19</v>
      </c>
      <c r="I14" t="s">
        <v>56</v>
      </c>
      <c r="J14" s="19">
        <v>8.3851832869164707E-3</v>
      </c>
      <c r="K14" s="9">
        <v>-445</v>
      </c>
      <c r="L14">
        <v>82.999999999999972</v>
      </c>
    </row>
    <row r="15" spans="1:21" x14ac:dyDescent="0.25">
      <c r="A15" s="9" t="s">
        <v>19</v>
      </c>
      <c r="B15" s="9" t="s">
        <v>60</v>
      </c>
      <c r="C15" s="19">
        <v>2.3053432466650599E-2</v>
      </c>
      <c r="D15" s="9">
        <v>-2376.4</v>
      </c>
      <c r="E15">
        <v>324.00000000000011</v>
      </c>
      <c r="H15" t="s">
        <v>19</v>
      </c>
      <c r="I15" t="s">
        <v>60</v>
      </c>
      <c r="J15" s="19">
        <v>4.4778763062984998E-2</v>
      </c>
      <c r="K15" s="9">
        <v>-2376.4</v>
      </c>
      <c r="L15">
        <v>324.00000000000011</v>
      </c>
    </row>
    <row r="16" spans="1:21" x14ac:dyDescent="0.25">
      <c r="A16" s="9" t="s">
        <v>19</v>
      </c>
      <c r="B16" s="9" t="s">
        <v>61</v>
      </c>
      <c r="C16" s="19">
        <v>3.4580148699975902E-2</v>
      </c>
      <c r="D16" s="9">
        <v>-1000.3</v>
      </c>
      <c r="E16">
        <v>486.00000000000006</v>
      </c>
      <c r="H16" t="s">
        <v>19</v>
      </c>
      <c r="I16" t="s">
        <v>61</v>
      </c>
      <c r="J16" s="19">
        <v>1.8848761442477598E-2</v>
      </c>
      <c r="K16" s="9">
        <v>-1000.3</v>
      </c>
      <c r="L16">
        <v>486.00000000000006</v>
      </c>
    </row>
    <row r="17" spans="1:12" x14ac:dyDescent="0.25">
      <c r="A17" s="9" t="s">
        <v>19</v>
      </c>
      <c r="B17" s="9" t="s">
        <v>62</v>
      </c>
      <c r="C17" s="19">
        <v>4.9276711897465603E-2</v>
      </c>
      <c r="D17" s="9">
        <v>-990.2</v>
      </c>
      <c r="E17">
        <v>692.55000000000007</v>
      </c>
      <c r="H17" t="s">
        <v>19</v>
      </c>
      <c r="I17" t="s">
        <v>62</v>
      </c>
      <c r="J17" s="19">
        <v>1.8658446046527399E-2</v>
      </c>
      <c r="K17" s="9">
        <v>-990.2</v>
      </c>
      <c r="L17">
        <v>692.55000000000007</v>
      </c>
    </row>
    <row r="18" spans="1:12" x14ac:dyDescent="0.25">
      <c r="A18" s="9" t="s">
        <v>19</v>
      </c>
      <c r="B18" s="9" t="s">
        <v>63</v>
      </c>
      <c r="C18" s="19">
        <v>4.3367491013652899E-2</v>
      </c>
      <c r="D18" s="9">
        <v>-2954.73</v>
      </c>
      <c r="E18">
        <v>609.50000000000034</v>
      </c>
      <c r="H18" t="s">
        <v>19</v>
      </c>
      <c r="I18" t="s">
        <v>63</v>
      </c>
      <c r="J18" s="19">
        <v>5.5676298007529698E-2</v>
      </c>
      <c r="K18" s="9">
        <v>-2954.73</v>
      </c>
      <c r="L18">
        <v>609.50000000000034</v>
      </c>
    </row>
    <row r="19" spans="1:12" x14ac:dyDescent="0.25">
      <c r="A19" s="9" t="s">
        <v>19</v>
      </c>
      <c r="B19" s="9" t="s">
        <v>64</v>
      </c>
      <c r="C19" s="19">
        <v>4.2958363739939102E-2</v>
      </c>
      <c r="D19" s="9">
        <v>-1486</v>
      </c>
      <c r="E19">
        <v>603.75</v>
      </c>
      <c r="H19" t="s">
        <v>19</v>
      </c>
      <c r="I19" t="s">
        <v>64</v>
      </c>
      <c r="J19" s="19">
        <v>2.8000859245748001E-2</v>
      </c>
      <c r="K19" s="9">
        <v>-1486</v>
      </c>
      <c r="L19">
        <v>603.75</v>
      </c>
    </row>
    <row r="20" spans="1:12" x14ac:dyDescent="0.25">
      <c r="A20" s="9" t="s">
        <v>19</v>
      </c>
      <c r="B20" s="9" t="s">
        <v>65</v>
      </c>
      <c r="C20" s="19">
        <v>2.0420787401014499E-3</v>
      </c>
      <c r="D20" s="9">
        <v>-460</v>
      </c>
      <c r="E20">
        <v>28.699999999999974</v>
      </c>
      <c r="H20" t="s">
        <v>19</v>
      </c>
      <c r="I20" t="s">
        <v>65</v>
      </c>
      <c r="J20" s="19">
        <v>8.6678299145653403E-3</v>
      </c>
      <c r="K20" s="9">
        <v>-460</v>
      </c>
      <c r="L20">
        <v>28.699999999999974</v>
      </c>
    </row>
    <row r="21" spans="1:12" x14ac:dyDescent="0.25">
      <c r="A21" s="9" t="s">
        <v>19</v>
      </c>
      <c r="B21" s="9" t="s">
        <v>66</v>
      </c>
      <c r="C21" s="19">
        <v>5.6423987487820701E-3</v>
      </c>
      <c r="D21" s="9">
        <v>-460</v>
      </c>
      <c r="E21">
        <v>79.3</v>
      </c>
      <c r="H21" t="s">
        <v>19</v>
      </c>
      <c r="I21" t="s">
        <v>66</v>
      </c>
      <c r="J21" s="19">
        <v>8.6678299145653403E-3</v>
      </c>
      <c r="K21" s="9">
        <v>-460</v>
      </c>
      <c r="L21">
        <v>79.3</v>
      </c>
    </row>
    <row r="22" spans="1:12" x14ac:dyDescent="0.25">
      <c r="A22" s="9" t="s">
        <v>19</v>
      </c>
      <c r="B22" s="9" t="s">
        <v>68</v>
      </c>
      <c r="C22" s="19">
        <v>1.10784550464738E-2</v>
      </c>
      <c r="D22" s="9">
        <v>-480</v>
      </c>
      <c r="E22">
        <v>155.70000000000005</v>
      </c>
      <c r="H22" t="s">
        <v>19</v>
      </c>
      <c r="I22" t="s">
        <v>68</v>
      </c>
      <c r="J22" s="19">
        <v>9.0446920847638401E-3</v>
      </c>
      <c r="K22" s="9">
        <v>-480</v>
      </c>
      <c r="L22">
        <v>155.70000000000005</v>
      </c>
    </row>
    <row r="23" spans="1:12" x14ac:dyDescent="0.25">
      <c r="A23" s="9" t="s">
        <v>19</v>
      </c>
      <c r="B23" s="9" t="s">
        <v>70</v>
      </c>
      <c r="C23" s="19">
        <v>5.9056632553456702E-3</v>
      </c>
      <c r="D23" s="9">
        <v>-885</v>
      </c>
      <c r="E23">
        <v>83</v>
      </c>
      <c r="H23" t="s">
        <v>19</v>
      </c>
      <c r="I23" t="s">
        <v>70</v>
      </c>
      <c r="J23" s="19">
        <v>1.6676151031283299E-2</v>
      </c>
      <c r="K23" s="9">
        <v>-885</v>
      </c>
      <c r="L23">
        <v>83</v>
      </c>
    </row>
    <row r="24" spans="1:12" x14ac:dyDescent="0.25">
      <c r="A24" s="9" t="s">
        <v>19</v>
      </c>
      <c r="B24" s="9" t="s">
        <v>71</v>
      </c>
      <c r="C24" s="19">
        <v>1.47677157668312E-2</v>
      </c>
      <c r="D24" s="9">
        <v>-391.7</v>
      </c>
      <c r="E24">
        <v>207.54999999999995</v>
      </c>
      <c r="H24" t="s">
        <v>19</v>
      </c>
      <c r="I24" t="s">
        <v>71</v>
      </c>
      <c r="J24" s="19">
        <v>7.3808456033374898E-3</v>
      </c>
      <c r="K24" s="9">
        <v>-391.7</v>
      </c>
      <c r="L24">
        <v>207.54999999999995</v>
      </c>
    </row>
    <row r="25" spans="1:12" x14ac:dyDescent="0.25">
      <c r="A25" s="9" t="s">
        <v>19</v>
      </c>
      <c r="B25" s="9" t="s">
        <v>72</v>
      </c>
      <c r="C25" s="19">
        <v>2.4803785672451801E-2</v>
      </c>
      <c r="D25" s="9">
        <v>-840</v>
      </c>
      <c r="E25">
        <v>348.6</v>
      </c>
      <c r="H25" t="s">
        <v>19</v>
      </c>
      <c r="I25" t="s">
        <v>72</v>
      </c>
      <c r="J25" s="19">
        <v>1.5828211148336699E-2</v>
      </c>
      <c r="K25" s="9">
        <v>-840</v>
      </c>
      <c r="L25">
        <v>348.6</v>
      </c>
    </row>
    <row r="26" spans="1:12" x14ac:dyDescent="0.25">
      <c r="A26" s="9" t="s">
        <v>19</v>
      </c>
      <c r="B26" s="9" t="s">
        <v>73</v>
      </c>
      <c r="C26" s="19">
        <v>1.6827582649268098E-2</v>
      </c>
      <c r="D26" s="9">
        <v>-866.15</v>
      </c>
      <c r="E26">
        <v>236.50000000000003</v>
      </c>
      <c r="H26" t="s">
        <v>19</v>
      </c>
      <c r="I26" t="s">
        <v>73</v>
      </c>
      <c r="J26" s="19">
        <v>1.63209584358712E-2</v>
      </c>
      <c r="K26" s="9">
        <v>-866.15</v>
      </c>
      <c r="L26">
        <v>236.50000000000003</v>
      </c>
    </row>
    <row r="27" spans="1:12" x14ac:dyDescent="0.25">
      <c r="A27" s="9" t="s">
        <v>19</v>
      </c>
      <c r="B27" s="9" t="s">
        <v>75</v>
      </c>
      <c r="C27" s="19">
        <v>1.7154884468238998E-2</v>
      </c>
      <c r="D27" s="9">
        <v>-577.4</v>
      </c>
      <c r="E27">
        <v>241.09999999999991</v>
      </c>
      <c r="H27" t="s">
        <v>19</v>
      </c>
      <c r="I27" t="s">
        <v>75</v>
      </c>
      <c r="J27" s="19">
        <v>1.08800108536305E-2</v>
      </c>
      <c r="K27" s="9">
        <v>-577.4</v>
      </c>
      <c r="L27">
        <v>241.09999999999991</v>
      </c>
    </row>
    <row r="28" spans="1:12" x14ac:dyDescent="0.25">
      <c r="A28" s="9" t="s">
        <v>19</v>
      </c>
      <c r="B28" s="9" t="s">
        <v>76</v>
      </c>
      <c r="C28" s="19">
        <v>1.0800960026041801E-2</v>
      </c>
      <c r="D28" s="9">
        <v>-1152.8</v>
      </c>
      <c r="E28">
        <v>151.80000000000007</v>
      </c>
      <c r="H28" t="s">
        <v>19</v>
      </c>
      <c r="I28" t="s">
        <v>76</v>
      </c>
      <c r="J28" s="19">
        <v>2.1722335490241201E-2</v>
      </c>
      <c r="K28" s="9">
        <v>-1152.8</v>
      </c>
      <c r="L28">
        <v>151.80000000000007</v>
      </c>
    </row>
    <row r="29" spans="1:12" x14ac:dyDescent="0.25">
      <c r="A29" s="9" t="s">
        <v>19</v>
      </c>
      <c r="B29" s="9" t="s">
        <v>77</v>
      </c>
      <c r="C29" s="19">
        <v>8.9581084800966198E-3</v>
      </c>
      <c r="D29" s="9">
        <v>-421.4</v>
      </c>
      <c r="E29">
        <v>125.89999999999996</v>
      </c>
      <c r="H29" t="s">
        <v>19</v>
      </c>
      <c r="I29" t="s">
        <v>77</v>
      </c>
      <c r="J29" s="19">
        <v>7.9404859260822497E-3</v>
      </c>
      <c r="K29" s="9">
        <v>-421.4</v>
      </c>
      <c r="L29">
        <v>125.89999999999996</v>
      </c>
    </row>
    <row r="30" spans="1:12" x14ac:dyDescent="0.25">
      <c r="A30" s="9" t="s">
        <v>19</v>
      </c>
      <c r="B30" s="9" t="s">
        <v>79</v>
      </c>
      <c r="C30" s="19">
        <v>3.8956031714478998E-3</v>
      </c>
      <c r="D30" s="9">
        <v>-1425</v>
      </c>
      <c r="E30">
        <v>54.750000000000028</v>
      </c>
      <c r="H30" t="s">
        <v>19</v>
      </c>
      <c r="I30" t="s">
        <v>79</v>
      </c>
      <c r="J30" s="19">
        <v>2.6851429626642598E-2</v>
      </c>
      <c r="K30" s="9">
        <v>-1425</v>
      </c>
      <c r="L30">
        <v>54.750000000000028</v>
      </c>
    </row>
    <row r="31" spans="1:12" x14ac:dyDescent="0.25">
      <c r="A31" s="9" t="s">
        <v>19</v>
      </c>
      <c r="B31" s="9" t="s">
        <v>80</v>
      </c>
      <c r="C31" s="19">
        <v>2.2484211911918501E-3</v>
      </c>
      <c r="D31" s="9">
        <v>-450.4</v>
      </c>
      <c r="E31">
        <v>31.600000000000037</v>
      </c>
      <c r="H31" t="s">
        <v>19</v>
      </c>
      <c r="I31" t="s">
        <v>80</v>
      </c>
      <c r="J31" s="19">
        <v>8.4869360728700594E-3</v>
      </c>
      <c r="K31" s="9">
        <v>-450.4</v>
      </c>
      <c r="L31">
        <v>31.600000000000037</v>
      </c>
    </row>
    <row r="32" spans="1:12" x14ac:dyDescent="0.25">
      <c r="A32" s="9" t="s">
        <v>19</v>
      </c>
      <c r="B32" s="9" t="s">
        <v>81</v>
      </c>
      <c r="C32" s="19">
        <v>2.5614924962945101E-3</v>
      </c>
      <c r="D32" s="9">
        <v>-354</v>
      </c>
      <c r="E32">
        <v>35.999999999999979</v>
      </c>
      <c r="H32" t="s">
        <v>19</v>
      </c>
      <c r="I32" t="s">
        <v>81</v>
      </c>
      <c r="J32" s="19">
        <v>6.6704604125133304E-3</v>
      </c>
      <c r="K32" s="9">
        <v>-354</v>
      </c>
      <c r="L32">
        <v>35.999999999999979</v>
      </c>
    </row>
    <row r="33" spans="1:12" x14ac:dyDescent="0.25">
      <c r="A33" s="9" t="s">
        <v>19</v>
      </c>
      <c r="B33" s="9" t="s">
        <v>83</v>
      </c>
      <c r="C33" s="19">
        <v>3.1164825371583198E-2</v>
      </c>
      <c r="D33" s="9">
        <v>-355</v>
      </c>
      <c r="E33">
        <v>438</v>
      </c>
      <c r="H33" t="s">
        <v>19</v>
      </c>
      <c r="I33" t="s">
        <v>83</v>
      </c>
      <c r="J33" s="19">
        <v>6.6893035210232599E-3</v>
      </c>
      <c r="K33" s="9">
        <v>-355</v>
      </c>
      <c r="L33">
        <v>438</v>
      </c>
    </row>
    <row r="34" spans="1:12" x14ac:dyDescent="0.25">
      <c r="A34" s="9" t="s">
        <v>19</v>
      </c>
      <c r="B34" s="9" t="s">
        <v>84</v>
      </c>
      <c r="C34" s="19">
        <v>1.77739118215102E-2</v>
      </c>
      <c r="D34" s="9">
        <v>-399.9</v>
      </c>
      <c r="E34">
        <v>249.79999999999995</v>
      </c>
      <c r="H34" t="s">
        <v>19</v>
      </c>
      <c r="I34" t="s">
        <v>84</v>
      </c>
      <c r="J34" s="19">
        <v>7.5353590931188704E-3</v>
      </c>
      <c r="K34" s="9">
        <v>-399.9</v>
      </c>
      <c r="L34">
        <v>249.79999999999995</v>
      </c>
    </row>
    <row r="35" spans="1:12" x14ac:dyDescent="0.25">
      <c r="A35" s="9" t="s">
        <v>19</v>
      </c>
      <c r="B35" s="9" t="s">
        <v>85</v>
      </c>
      <c r="C35" s="19">
        <v>2.13457708024542E-2</v>
      </c>
      <c r="D35" s="9">
        <v>-769.3</v>
      </c>
      <c r="E35">
        <v>300</v>
      </c>
      <c r="H35" t="s">
        <v>19</v>
      </c>
      <c r="I35" t="s">
        <v>85</v>
      </c>
      <c r="J35" s="19">
        <v>1.4496003376685E-2</v>
      </c>
      <c r="K35" s="9">
        <v>-769.3</v>
      </c>
      <c r="L35">
        <v>300</v>
      </c>
    </row>
    <row r="36" spans="1:12" x14ac:dyDescent="0.25">
      <c r="A36" s="9" t="s">
        <v>19</v>
      </c>
      <c r="B36" s="9" t="s">
        <v>86</v>
      </c>
      <c r="C36" s="19">
        <v>1.8054964470409201E-2</v>
      </c>
      <c r="D36" s="9">
        <v>-3037.2</v>
      </c>
      <c r="E36">
        <v>253.74999999999989</v>
      </c>
      <c r="H36" t="s">
        <v>19</v>
      </c>
      <c r="I36" t="s">
        <v>86</v>
      </c>
      <c r="J36" s="19">
        <v>5.72302891663432E-2</v>
      </c>
      <c r="K36" s="9">
        <v>-3037.2</v>
      </c>
      <c r="L36">
        <v>253.74999999999989</v>
      </c>
    </row>
    <row r="37" spans="1:12" x14ac:dyDescent="0.25">
      <c r="A37" s="9" t="s">
        <v>19</v>
      </c>
      <c r="B37" s="9" t="s">
        <v>87</v>
      </c>
      <c r="C37" s="19">
        <v>5.7882615159321697E-3</v>
      </c>
      <c r="D37" s="9">
        <v>-475.15</v>
      </c>
      <c r="E37">
        <v>81.34999999999998</v>
      </c>
      <c r="H37" t="s">
        <v>19</v>
      </c>
      <c r="I37" t="s">
        <v>87</v>
      </c>
      <c r="J37" s="19">
        <v>8.9533030084907005E-3</v>
      </c>
      <c r="K37" s="9">
        <v>-475.15</v>
      </c>
      <c r="L37">
        <v>81.34999999999998</v>
      </c>
    </row>
    <row r="38" spans="1:12" x14ac:dyDescent="0.25">
      <c r="A38" s="9" t="s">
        <v>19</v>
      </c>
      <c r="B38" s="9" t="s">
        <v>90</v>
      </c>
      <c r="C38" s="19">
        <v>5.8416259429383104E-3</v>
      </c>
      <c r="D38" s="9">
        <v>-290</v>
      </c>
      <c r="E38">
        <v>82.100000000000009</v>
      </c>
      <c r="H38" t="s">
        <v>19</v>
      </c>
      <c r="I38" t="s">
        <v>90</v>
      </c>
      <c r="J38" s="19">
        <v>5.4645014678781504E-3</v>
      </c>
      <c r="K38" s="9">
        <v>-290</v>
      </c>
      <c r="L38">
        <v>82.100000000000009</v>
      </c>
    </row>
    <row r="39" spans="1:12" x14ac:dyDescent="0.25">
      <c r="A39" s="9" t="s">
        <v>19</v>
      </c>
      <c r="B39" s="9" t="s">
        <v>91</v>
      </c>
      <c r="C39" s="19">
        <v>3.5576284670756999E-3</v>
      </c>
      <c r="D39" s="9">
        <v>-295</v>
      </c>
      <c r="E39">
        <v>50</v>
      </c>
      <c r="H39" t="s">
        <v>19</v>
      </c>
      <c r="I39" t="s">
        <v>91</v>
      </c>
      <c r="J39" s="19">
        <v>5.5587170104277796E-3</v>
      </c>
      <c r="K39" s="9">
        <v>-295</v>
      </c>
      <c r="L39">
        <v>50</v>
      </c>
    </row>
    <row r="40" spans="1:12" x14ac:dyDescent="0.25">
      <c r="A40" s="9" t="s">
        <v>19</v>
      </c>
      <c r="B40" s="9" t="s">
        <v>93</v>
      </c>
      <c r="C40" s="19">
        <v>1.6222785809865199E-2</v>
      </c>
      <c r="D40" s="9">
        <v>-1402.7</v>
      </c>
      <c r="E40">
        <v>228.0000000000002</v>
      </c>
      <c r="H40" t="s">
        <v>19</v>
      </c>
      <c r="I40" t="s">
        <v>93</v>
      </c>
      <c r="J40" s="19">
        <v>2.64312283068713E-2</v>
      </c>
      <c r="K40" s="9">
        <v>-1402.7</v>
      </c>
      <c r="L40">
        <v>228.0000000000002</v>
      </c>
    </row>
    <row r="41" spans="1:12" x14ac:dyDescent="0.25">
      <c r="A41" s="9" t="s">
        <v>19</v>
      </c>
      <c r="B41" s="9" t="s">
        <v>96</v>
      </c>
      <c r="C41" s="19">
        <v>2.0420787401014499E-2</v>
      </c>
      <c r="D41" s="9">
        <v>-400</v>
      </c>
      <c r="E41">
        <v>287</v>
      </c>
      <c r="H41" t="s">
        <v>19</v>
      </c>
      <c r="I41" t="s">
        <v>96</v>
      </c>
      <c r="J41" s="19">
        <v>7.5372434039698601E-3</v>
      </c>
      <c r="K41" s="9">
        <v>-400</v>
      </c>
      <c r="L41">
        <v>287</v>
      </c>
    </row>
    <row r="42" spans="1:12" x14ac:dyDescent="0.25">
      <c r="A42" s="9" t="s">
        <v>19</v>
      </c>
      <c r="B42" s="9" t="s">
        <v>98</v>
      </c>
      <c r="C42" s="19">
        <v>1.0160586901968201E-2</v>
      </c>
      <c r="D42" s="9">
        <v>-872.1</v>
      </c>
      <c r="E42">
        <v>142.80000000000001</v>
      </c>
      <c r="H42" t="s">
        <v>19</v>
      </c>
      <c r="I42" t="s">
        <v>98</v>
      </c>
      <c r="J42" s="19">
        <v>1.6433074931505299E-2</v>
      </c>
      <c r="K42" s="9">
        <v>-872.1</v>
      </c>
      <c r="L42">
        <v>142.80000000000001</v>
      </c>
    </row>
    <row r="43" spans="1:12" x14ac:dyDescent="0.25">
      <c r="A43" s="9" t="s">
        <v>19</v>
      </c>
      <c r="B43" s="9" t="s">
        <v>99</v>
      </c>
      <c r="C43" s="19">
        <v>9.9898207355485803E-3</v>
      </c>
      <c r="D43" s="9">
        <v>-1190.5999999999999</v>
      </c>
      <c r="E43">
        <v>140.39999999999998</v>
      </c>
      <c r="H43" t="s">
        <v>19</v>
      </c>
      <c r="I43" t="s">
        <v>99</v>
      </c>
      <c r="J43" s="19">
        <v>2.2434604991916299E-2</v>
      </c>
      <c r="K43" s="9">
        <v>-1190.5999999999999</v>
      </c>
      <c r="L43">
        <v>140.39999999999998</v>
      </c>
    </row>
    <row r="44" spans="1:12" x14ac:dyDescent="0.25">
      <c r="A44" s="9" t="s">
        <v>20</v>
      </c>
      <c r="B44" s="9" t="s">
        <v>37</v>
      </c>
      <c r="C44" s="19">
        <v>2.8176417459239498E-3</v>
      </c>
      <c r="D44" s="9">
        <v>-1245.6500000000001</v>
      </c>
      <c r="E44">
        <v>-39.599999999999937</v>
      </c>
      <c r="H44" t="s">
        <v>20</v>
      </c>
      <c r="I44" t="s">
        <v>37</v>
      </c>
      <c r="J44" s="19">
        <v>2.3471918115387701E-2</v>
      </c>
      <c r="K44" s="9">
        <v>-1245.6500000000001</v>
      </c>
      <c r="L44">
        <v>-39.599999999999937</v>
      </c>
    </row>
    <row r="45" spans="1:12" x14ac:dyDescent="0.25">
      <c r="A45" s="9" t="s">
        <v>20</v>
      </c>
      <c r="B45" s="9" t="s">
        <v>39</v>
      </c>
      <c r="C45" s="19">
        <v>8.9372074128525603E-3</v>
      </c>
      <c r="D45" s="9">
        <v>-498.75</v>
      </c>
      <c r="E45">
        <v>-125.60625000000003</v>
      </c>
      <c r="H45" t="s">
        <v>20</v>
      </c>
      <c r="I45" t="s">
        <v>39</v>
      </c>
      <c r="J45" s="19">
        <v>9.3980003693249197E-3</v>
      </c>
      <c r="K45" s="9">
        <v>-498.75</v>
      </c>
      <c r="L45">
        <v>-125.60625000000003</v>
      </c>
    </row>
    <row r="46" spans="1:12" x14ac:dyDescent="0.25">
      <c r="A46" s="9" t="s">
        <v>20</v>
      </c>
      <c r="B46" s="9" t="s">
        <v>46</v>
      </c>
      <c r="C46" s="19">
        <v>1.4159361298961301E-2</v>
      </c>
      <c r="D46" s="9">
        <v>-475</v>
      </c>
      <c r="E46">
        <v>-199.00000000000003</v>
      </c>
      <c r="H46" t="s">
        <v>20</v>
      </c>
      <c r="I46" t="s">
        <v>46</v>
      </c>
      <c r="J46" s="19">
        <v>8.9504765422142203E-3</v>
      </c>
      <c r="K46" s="9">
        <v>-475</v>
      </c>
      <c r="L46">
        <v>-199.00000000000003</v>
      </c>
    </row>
    <row r="47" spans="1:12" x14ac:dyDescent="0.25">
      <c r="A47" s="9" t="s">
        <v>20</v>
      </c>
      <c r="B47" s="9" t="s">
        <v>47</v>
      </c>
      <c r="C47" s="19">
        <v>9.4632917224213601E-4</v>
      </c>
      <c r="D47" s="9">
        <v>-987.5</v>
      </c>
      <c r="E47">
        <v>-13.299999999999983</v>
      </c>
      <c r="H47" t="s">
        <v>20</v>
      </c>
      <c r="I47" t="s">
        <v>47</v>
      </c>
      <c r="J47" s="19">
        <v>1.86075696535506E-2</v>
      </c>
      <c r="K47" s="9">
        <v>-987.5</v>
      </c>
      <c r="L47">
        <v>-13.299999999999983</v>
      </c>
    </row>
    <row r="48" spans="1:12" x14ac:dyDescent="0.25">
      <c r="A48" s="9" t="s">
        <v>20</v>
      </c>
      <c r="B48" s="9" t="s">
        <v>48</v>
      </c>
      <c r="C48" s="19">
        <v>6.3503668137301298E-3</v>
      </c>
      <c r="D48" s="9">
        <v>-499.95</v>
      </c>
      <c r="E48">
        <v>-89.249999999999986</v>
      </c>
      <c r="H48" t="s">
        <v>20</v>
      </c>
      <c r="I48" t="s">
        <v>48</v>
      </c>
      <c r="J48" s="19">
        <v>9.4206120995368407E-3</v>
      </c>
      <c r="K48" s="9">
        <v>-499.95</v>
      </c>
      <c r="L48">
        <v>-89.249999999999986</v>
      </c>
    </row>
    <row r="49" spans="1:12" x14ac:dyDescent="0.25">
      <c r="A49" s="9" t="s">
        <v>20</v>
      </c>
      <c r="B49" s="9" t="s">
        <v>52</v>
      </c>
      <c r="C49" s="19">
        <v>2.3124585035992E-3</v>
      </c>
      <c r="D49" s="9">
        <v>-1895.1</v>
      </c>
      <c r="E49">
        <v>-32.499999999999929</v>
      </c>
      <c r="H49" t="s">
        <v>20</v>
      </c>
      <c r="I49" t="s">
        <v>52</v>
      </c>
      <c r="J49" s="19">
        <v>3.5709574937158199E-2</v>
      </c>
      <c r="K49" s="9">
        <v>-1895.1</v>
      </c>
      <c r="L49">
        <v>-32.499999999999929</v>
      </c>
    </row>
    <row r="50" spans="1:12" x14ac:dyDescent="0.25">
      <c r="A50" s="9" t="s">
        <v>20</v>
      </c>
      <c r="B50" s="9" t="s">
        <v>54</v>
      </c>
      <c r="C50" s="19">
        <v>5.2652901312720502E-3</v>
      </c>
      <c r="D50" s="9">
        <v>-502.5</v>
      </c>
      <c r="E50">
        <v>-74.000000000000028</v>
      </c>
      <c r="H50" t="s">
        <v>20</v>
      </c>
      <c r="I50" t="s">
        <v>54</v>
      </c>
      <c r="J50" s="19">
        <v>9.4686620262371402E-3</v>
      </c>
      <c r="K50" s="9">
        <v>-502.5</v>
      </c>
      <c r="L50">
        <v>-74.000000000000028</v>
      </c>
    </row>
    <row r="51" spans="1:12" x14ac:dyDescent="0.25">
      <c r="A51" s="9" t="s">
        <v>20</v>
      </c>
      <c r="B51" s="9" t="s">
        <v>55</v>
      </c>
      <c r="C51" s="19">
        <v>1.0039627534087599E-2</v>
      </c>
      <c r="D51" s="9">
        <v>-881.3</v>
      </c>
      <c r="E51">
        <v>-141.1</v>
      </c>
      <c r="H51" t="s">
        <v>20</v>
      </c>
      <c r="I51" t="s">
        <v>55</v>
      </c>
      <c r="J51" s="19">
        <v>1.66064315297966E-2</v>
      </c>
      <c r="K51" s="9">
        <v>-881.3</v>
      </c>
      <c r="L51">
        <v>-141.1</v>
      </c>
    </row>
    <row r="52" spans="1:12" x14ac:dyDescent="0.25">
      <c r="A52" s="9" t="s">
        <v>20</v>
      </c>
      <c r="B52" s="9" t="s">
        <v>57</v>
      </c>
      <c r="C52" s="19">
        <v>1.42589748960394E-2</v>
      </c>
      <c r="D52" s="9">
        <v>-501.6</v>
      </c>
      <c r="E52">
        <v>-200.39999999999998</v>
      </c>
      <c r="H52" t="s">
        <v>20</v>
      </c>
      <c r="I52" t="s">
        <v>57</v>
      </c>
      <c r="J52" s="19">
        <v>9.4517032285782107E-3</v>
      </c>
      <c r="K52" s="9">
        <v>-501.6</v>
      </c>
      <c r="L52">
        <v>-200.39999999999998</v>
      </c>
    </row>
    <row r="53" spans="1:12" x14ac:dyDescent="0.25">
      <c r="A53" s="9" t="s">
        <v>20</v>
      </c>
      <c r="B53" s="9" t="s">
        <v>58</v>
      </c>
      <c r="C53" s="19">
        <v>1.5511260116450099E-3</v>
      </c>
      <c r="D53" s="9">
        <v>-411.5</v>
      </c>
      <c r="E53">
        <v>-21.799999999999997</v>
      </c>
      <c r="H53" t="s">
        <v>20</v>
      </c>
      <c r="I53" t="s">
        <v>58</v>
      </c>
      <c r="J53" s="19">
        <v>7.7539391518339999E-3</v>
      </c>
      <c r="K53" s="9">
        <v>-411.5</v>
      </c>
      <c r="L53">
        <v>-21.799999999999997</v>
      </c>
    </row>
    <row r="54" spans="1:12" x14ac:dyDescent="0.25">
      <c r="A54" s="9" t="s">
        <v>20</v>
      </c>
      <c r="B54" s="9" t="s">
        <v>59</v>
      </c>
      <c r="C54" s="19">
        <v>2.11892351499029E-2</v>
      </c>
      <c r="D54" s="9">
        <v>-1890.75</v>
      </c>
      <c r="E54">
        <v>-297.8</v>
      </c>
      <c r="H54" t="s">
        <v>20</v>
      </c>
      <c r="I54" t="s">
        <v>59</v>
      </c>
      <c r="J54" s="19">
        <v>3.5627607415139997E-2</v>
      </c>
      <c r="K54" s="9">
        <v>-1890.75</v>
      </c>
      <c r="L54">
        <v>-297.8</v>
      </c>
    </row>
    <row r="55" spans="1:12" x14ac:dyDescent="0.25">
      <c r="A55" s="9" t="s">
        <v>20</v>
      </c>
      <c r="B55" s="9" t="s">
        <v>67</v>
      </c>
      <c r="C55" s="19">
        <v>7.3963095830503903E-3</v>
      </c>
      <c r="D55" s="9">
        <v>-468.45</v>
      </c>
      <c r="E55">
        <v>-103.95</v>
      </c>
      <c r="H55" t="s">
        <v>20</v>
      </c>
      <c r="I55" t="s">
        <v>67</v>
      </c>
      <c r="J55" s="19">
        <v>8.8270541814742098E-3</v>
      </c>
      <c r="K55" s="9">
        <v>-468.45</v>
      </c>
      <c r="L55">
        <v>-103.95</v>
      </c>
    </row>
    <row r="56" spans="1:12" x14ac:dyDescent="0.25">
      <c r="A56" s="9" t="s">
        <v>20</v>
      </c>
      <c r="B56" s="9" t="s">
        <v>69</v>
      </c>
      <c r="C56" s="19">
        <v>3.1911927349669001E-3</v>
      </c>
      <c r="D56" s="9">
        <v>-466.7</v>
      </c>
      <c r="E56">
        <v>-44.849999999999966</v>
      </c>
      <c r="G56" t="s">
        <v>102</v>
      </c>
      <c r="H56" t="s">
        <v>20</v>
      </c>
      <c r="I56" t="s">
        <v>69</v>
      </c>
      <c r="J56" s="19">
        <v>8.7940787415818397E-3</v>
      </c>
      <c r="K56" s="9">
        <v>-466.7</v>
      </c>
      <c r="L56">
        <v>-44.849999999999966</v>
      </c>
    </row>
    <row r="57" spans="1:12" x14ac:dyDescent="0.25">
      <c r="A57" s="9" t="s">
        <v>20</v>
      </c>
      <c r="B57" s="9" t="s">
        <v>74</v>
      </c>
      <c r="C57" s="19">
        <v>8.4813862655084803E-3</v>
      </c>
      <c r="D57" s="9">
        <v>-1152.45</v>
      </c>
      <c r="E57">
        <v>-119.20000000000002</v>
      </c>
      <c r="H57" t="s">
        <v>20</v>
      </c>
      <c r="I57" t="s">
        <v>74</v>
      </c>
      <c r="J57" s="19">
        <v>2.17157404022627E-2</v>
      </c>
      <c r="K57" s="9">
        <v>-1152.45</v>
      </c>
      <c r="L57">
        <v>-119.20000000000002</v>
      </c>
    </row>
    <row r="58" spans="1:12" x14ac:dyDescent="0.25">
      <c r="A58" s="9" t="s">
        <v>20</v>
      </c>
      <c r="B58" s="9" t="s">
        <v>78</v>
      </c>
      <c r="C58" s="19">
        <v>1.48424259646398E-2</v>
      </c>
      <c r="D58" s="9">
        <v>-1462.88</v>
      </c>
      <c r="E58">
        <v>-208.5999999999998</v>
      </c>
      <c r="H58" t="s">
        <v>20</v>
      </c>
      <c r="I58" t="s">
        <v>78</v>
      </c>
      <c r="J58" s="19">
        <v>2.75652065769986E-2</v>
      </c>
      <c r="K58" s="9">
        <v>-1462.88</v>
      </c>
      <c r="L58">
        <v>-208.5999999999998</v>
      </c>
    </row>
    <row r="59" spans="1:12" x14ac:dyDescent="0.25">
      <c r="A59" s="9" t="s">
        <v>20</v>
      </c>
      <c r="B59" s="9" t="s">
        <v>82</v>
      </c>
      <c r="C59" s="19">
        <v>2.2882666300230899E-2</v>
      </c>
      <c r="D59" s="9">
        <v>-510</v>
      </c>
      <c r="E59">
        <v>-321.59999999999997</v>
      </c>
      <c r="H59" t="s">
        <v>20</v>
      </c>
      <c r="I59" t="s">
        <v>82</v>
      </c>
      <c r="J59" s="19">
        <v>9.6099853400615793E-3</v>
      </c>
      <c r="K59" s="9">
        <v>-510</v>
      </c>
      <c r="L59">
        <v>-321.59999999999997</v>
      </c>
    </row>
    <row r="60" spans="1:12" x14ac:dyDescent="0.25">
      <c r="A60" s="9" t="s">
        <v>20</v>
      </c>
      <c r="B60" s="9" t="s">
        <v>88</v>
      </c>
      <c r="C60" s="19">
        <v>1.75035320580124E-3</v>
      </c>
      <c r="D60" s="9">
        <v>-978.1</v>
      </c>
      <c r="E60">
        <v>-24.599999999999902</v>
      </c>
      <c r="H60" t="s">
        <v>20</v>
      </c>
      <c r="I60" t="s">
        <v>88</v>
      </c>
      <c r="J60" s="19">
        <v>1.8430444433557298E-2</v>
      </c>
      <c r="K60" s="9">
        <v>-978.1</v>
      </c>
      <c r="L60">
        <v>-24.599999999999902</v>
      </c>
    </row>
    <row r="61" spans="1:12" x14ac:dyDescent="0.25">
      <c r="A61" s="9" t="s">
        <v>20</v>
      </c>
      <c r="B61" s="9" t="s">
        <v>89</v>
      </c>
      <c r="C61" s="19">
        <v>5.3293274436793997E-3</v>
      </c>
      <c r="D61" s="9">
        <v>-479.5</v>
      </c>
      <c r="E61">
        <v>-74.899999999999963</v>
      </c>
      <c r="H61" t="s">
        <v>20</v>
      </c>
      <c r="I61" t="s">
        <v>89</v>
      </c>
      <c r="J61" s="19">
        <v>9.0352705305088796E-3</v>
      </c>
      <c r="K61" s="9">
        <v>-479.5</v>
      </c>
      <c r="L61">
        <v>-74.899999999999963</v>
      </c>
    </row>
    <row r="62" spans="1:12" x14ac:dyDescent="0.25">
      <c r="A62" s="9" t="s">
        <v>20</v>
      </c>
      <c r="B62" s="9" t="s">
        <v>94</v>
      </c>
      <c r="C62" s="19">
        <v>8.3746574114962006E-3</v>
      </c>
      <c r="D62" s="9">
        <v>-1489.72</v>
      </c>
      <c r="E62">
        <v>-117.69999999999986</v>
      </c>
      <c r="H62" t="s">
        <v>20</v>
      </c>
      <c r="I62" t="s">
        <v>94</v>
      </c>
      <c r="J62" s="19">
        <v>2.8070955609405E-2</v>
      </c>
      <c r="K62" s="9">
        <v>-1489.72</v>
      </c>
      <c r="L62">
        <v>-117.69999999999986</v>
      </c>
    </row>
    <row r="63" spans="1:12" x14ac:dyDescent="0.25">
      <c r="A63" s="9" t="s">
        <v>20</v>
      </c>
      <c r="B63" s="9" t="s">
        <v>95</v>
      </c>
      <c r="C63" s="19">
        <v>5.1891568820766197E-2</v>
      </c>
      <c r="D63" s="9">
        <v>-1399.25</v>
      </c>
      <c r="E63">
        <v>-729.3</v>
      </c>
      <c r="H63" t="s">
        <v>20</v>
      </c>
      <c r="I63" t="s">
        <v>95</v>
      </c>
      <c r="J63" s="19">
        <v>2.6366219582512101E-2</v>
      </c>
      <c r="K63" s="9">
        <v>-1399.25</v>
      </c>
      <c r="L63">
        <v>-729.3</v>
      </c>
    </row>
    <row r="64" spans="1:12" x14ac:dyDescent="0.25">
      <c r="A64" s="9" t="s">
        <v>20</v>
      </c>
      <c r="B64" s="9" t="s">
        <v>97</v>
      </c>
      <c r="C64" s="19">
        <v>3.5149369254708E-3</v>
      </c>
      <c r="D64" s="9">
        <v>-142.5</v>
      </c>
      <c r="E64">
        <v>-49.399999999999991</v>
      </c>
      <c r="H64" t="s">
        <v>20</v>
      </c>
      <c r="I64" t="s">
        <v>97</v>
      </c>
      <c r="J64" s="19">
        <v>2.6851429626642601E-3</v>
      </c>
      <c r="K64" s="9">
        <v>-142.5</v>
      </c>
      <c r="L64">
        <v>-49.399999999999991</v>
      </c>
    </row>
    <row r="65" spans="1:12" x14ac:dyDescent="0.25">
      <c r="A65" s="9" t="s">
        <v>32</v>
      </c>
      <c r="B65" s="9" t="s">
        <v>45</v>
      </c>
      <c r="C65" s="19">
        <v>0</v>
      </c>
      <c r="D65" s="9">
        <v>217.62</v>
      </c>
      <c r="E65">
        <v>0</v>
      </c>
      <c r="H65" t="s">
        <v>32</v>
      </c>
      <c r="I65" t="s">
        <v>45</v>
      </c>
      <c r="J65" s="19"/>
      <c r="K65" s="9">
        <v>217.62</v>
      </c>
      <c r="L65">
        <v>0</v>
      </c>
    </row>
    <row r="66" spans="1:12" x14ac:dyDescent="0.25">
      <c r="A66" s="9" t="s">
        <v>32</v>
      </c>
      <c r="B66" s="9" t="s">
        <v>111</v>
      </c>
      <c r="C66" s="19">
        <v>0</v>
      </c>
      <c r="D66" s="9">
        <v>1002</v>
      </c>
      <c r="E66">
        <v>0</v>
      </c>
      <c r="H66" t="s">
        <v>32</v>
      </c>
      <c r="I66" t="s">
        <v>111</v>
      </c>
      <c r="J66" s="19"/>
      <c r="K66" s="9">
        <v>1002</v>
      </c>
      <c r="L66">
        <v>0</v>
      </c>
    </row>
    <row r="67" spans="1:12" x14ac:dyDescent="0.25">
      <c r="A67" s="9" t="s">
        <v>32</v>
      </c>
      <c r="B67" s="9" t="s">
        <v>92</v>
      </c>
      <c r="C67" s="19">
        <v>0</v>
      </c>
      <c r="D67" s="9">
        <v>-145.05000000000001</v>
      </c>
      <c r="E67">
        <v>0</v>
      </c>
      <c r="H67" t="s">
        <v>32</v>
      </c>
      <c r="I67" t="s">
        <v>92</v>
      </c>
      <c r="J67" s="19"/>
      <c r="K67" s="9">
        <v>-145.05000000000001</v>
      </c>
      <c r="L67">
        <v>0</v>
      </c>
    </row>
  </sheetData>
  <mergeCells count="2">
    <mergeCell ref="N9:U12"/>
    <mergeCell ref="N1:U6"/>
  </mergeCells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70528-241F-4734-87EA-F3F984ACABD2}">
  <sheetPr codeName="Sheet2"/>
  <dimension ref="A1:I137"/>
  <sheetViews>
    <sheetView workbookViewId="0">
      <pane ySplit="1" topLeftCell="A2" activePane="bottomLeft" state="frozen"/>
      <selection pane="bottomLeft" activeCell="K22" sqref="K22"/>
    </sheetView>
  </sheetViews>
  <sheetFormatPr defaultRowHeight="15" x14ac:dyDescent="0.25"/>
  <cols>
    <col min="1" max="1" width="15.5703125" bestFit="1" customWidth="1"/>
    <col min="2" max="2" width="10" bestFit="1" customWidth="1"/>
    <col min="3" max="3" width="6.42578125" bestFit="1" customWidth="1"/>
    <col min="4" max="4" width="8" bestFit="1" customWidth="1"/>
    <col min="5" max="5" width="16.7109375" bestFit="1" customWidth="1"/>
    <col min="6" max="6" width="11.42578125" bestFit="1" customWidth="1"/>
    <col min="7" max="7" width="15.42578125" bestFit="1" customWidth="1"/>
    <col min="8" max="8" width="12" bestFit="1" customWidth="1"/>
    <col min="9" max="12" width="15.42578125" bestFit="1" customWidth="1"/>
    <col min="13" max="14" width="14.85546875" bestFit="1" customWidth="1"/>
    <col min="15" max="15" width="16.140625" bestFit="1" customWidth="1"/>
    <col min="16" max="20" width="11.42578125" bestFit="1" customWidth="1"/>
  </cols>
  <sheetData>
    <row r="1" spans="1:9" x14ac:dyDescent="0.25">
      <c r="A1" t="s">
        <v>1</v>
      </c>
      <c r="B1" t="s">
        <v>2</v>
      </c>
      <c r="C1" t="s">
        <v>3</v>
      </c>
      <c r="D1" t="s">
        <v>4</v>
      </c>
      <c r="E1" t="s">
        <v>106</v>
      </c>
      <c r="F1" t="s">
        <v>5</v>
      </c>
      <c r="G1" t="s">
        <v>7</v>
      </c>
      <c r="H1" t="s">
        <v>8</v>
      </c>
      <c r="I1" t="s">
        <v>9</v>
      </c>
    </row>
    <row r="2" spans="1:9" x14ac:dyDescent="0.25">
      <c r="A2" s="1">
        <v>45810.511423611111</v>
      </c>
      <c r="B2" s="53" t="s">
        <v>35</v>
      </c>
      <c r="C2">
        <v>205</v>
      </c>
      <c r="D2">
        <v>2.44</v>
      </c>
      <c r="E2">
        <v>-500.2</v>
      </c>
      <c r="F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2" s="2">
        <f>RTD("tos.rtd", , "LAST", trades[[#This Row],[Symbol]])</f>
        <v>2.9</v>
      </c>
      <c r="H2" s="2">
        <f>IFERROR((trades[[#This Row],[Current Price]]-trades[[#This Row],[Avg Price]])*SUMIF(trades[Symbol],trades[[#This Row],[Symbol]],trades[Qty]),"")</f>
        <v>415.85999999999973</v>
      </c>
      <c r="I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" spans="1:9" x14ac:dyDescent="0.25">
      <c r="A3" s="1">
        <v>45806.430648148147</v>
      </c>
      <c r="B3" s="53" t="s">
        <v>35</v>
      </c>
      <c r="C3">
        <v>200</v>
      </c>
      <c r="D3">
        <v>2.4897</v>
      </c>
      <c r="E3">
        <v>-497.94</v>
      </c>
      <c r="F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3" s="2">
        <f>RTD("tos.rtd", , "LAST", trades[[#This Row],[Symbol]])</f>
        <v>2.9</v>
      </c>
      <c r="H3" s="2">
        <f>IFERROR((trades[[#This Row],[Current Price]]-trades[[#This Row],[Avg Price]])*SUMIF(trades[Symbol],trades[[#This Row],[Symbol]],trades[Qty]),"")</f>
        <v>415.85999999999973</v>
      </c>
      <c r="I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" spans="1:9" x14ac:dyDescent="0.25">
      <c r="A4" s="1">
        <v>45782.395833333336</v>
      </c>
      <c r="B4" s="53" t="s">
        <v>35</v>
      </c>
      <c r="C4">
        <v>200</v>
      </c>
      <c r="D4">
        <v>2.4900000000000002</v>
      </c>
      <c r="E4">
        <v>-498.00000000000006</v>
      </c>
      <c r="F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4" s="2">
        <f>RTD("tos.rtd", , "LAST", trades[[#This Row],[Symbol]])</f>
        <v>2.9</v>
      </c>
      <c r="H4" s="2">
        <f>IFERROR((trades[[#This Row],[Current Price]]-trades[[#This Row],[Avg Price]])*SUMIF(trades[Symbol],trades[[#This Row],[Symbol]],trades[Qty]),"")</f>
        <v>415.85999999999973</v>
      </c>
      <c r="I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" spans="1:9" x14ac:dyDescent="0.25">
      <c r="A5" s="1">
        <v>45874.395891203705</v>
      </c>
      <c r="B5" s="53" t="s">
        <v>35</v>
      </c>
      <c r="C5">
        <v>225</v>
      </c>
      <c r="D5">
        <v>2.2000000000000002</v>
      </c>
      <c r="E5">
        <v>-495.00000000000006</v>
      </c>
      <c r="F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2.398963855421687</v>
      </c>
      <c r="G5" s="2">
        <f>RTD("tos.rtd", , "LAST", trades[[#This Row],[Symbol]])</f>
        <v>2.9</v>
      </c>
      <c r="H5" s="2">
        <f>IFERROR((trades[[#This Row],[Current Price]]-trades[[#This Row],[Avg Price]])*SUMIF(trades[Symbol],trades[[#This Row],[Symbol]],trades[Qty]),"")</f>
        <v>415.85999999999973</v>
      </c>
      <c r="I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" spans="1:9" x14ac:dyDescent="0.25">
      <c r="A6" s="1">
        <v>45874.395833333336</v>
      </c>
      <c r="B6" s="53" t="s">
        <v>36</v>
      </c>
      <c r="C6">
        <v>5</v>
      </c>
      <c r="D6">
        <v>80</v>
      </c>
      <c r="E6">
        <v>-400</v>
      </c>
      <c r="F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80</v>
      </c>
      <c r="G6" s="2">
        <f>RTD("tos.rtd", , "LAST", trades[[#This Row],[Symbol]])</f>
        <v>84.37</v>
      </c>
      <c r="H6" s="2">
        <f>IFERROR((trades[[#This Row],[Current Price]]-trades[[#This Row],[Avg Price]])*SUMIF(trades[Symbol],trades[[#This Row],[Symbol]],trades[Qty]),"")</f>
        <v>21.850000000000023</v>
      </c>
      <c r="I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" spans="1:9" x14ac:dyDescent="0.25">
      <c r="A7" s="1">
        <v>45937.395856481482</v>
      </c>
      <c r="B7" s="53" t="s">
        <v>37</v>
      </c>
      <c r="C7">
        <v>5</v>
      </c>
      <c r="D7">
        <v>249.13</v>
      </c>
      <c r="E7">
        <v>-1245.6500000000001</v>
      </c>
      <c r="F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249.13000000000002</v>
      </c>
      <c r="G7" s="2">
        <f>RTD("tos.rtd", , "LAST", trades[[#This Row],[Symbol]])</f>
        <v>241.21</v>
      </c>
      <c r="H7" s="2">
        <f>IFERROR((trades[[#This Row],[Current Price]]-trades[[#This Row],[Avg Price]])*SUMIF(trades[Symbol],trades[[#This Row],[Symbol]],trades[Qty]),"")</f>
        <v>-39.60000000000008</v>
      </c>
      <c r="I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" spans="1:9" x14ac:dyDescent="0.25">
      <c r="A8" s="1">
        <v>45806.672719907408</v>
      </c>
      <c r="B8" s="53" t="s">
        <v>38</v>
      </c>
      <c r="C8">
        <v>50</v>
      </c>
      <c r="D8">
        <v>10.42</v>
      </c>
      <c r="E8">
        <v>-521</v>
      </c>
      <c r="F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10.42</v>
      </c>
      <c r="G8" s="2">
        <f>RTD("tos.rtd", , "LAST", trades[[#This Row],[Symbol]])</f>
        <v>24.02</v>
      </c>
      <c r="H8" s="2">
        <f>IFERROR((trades[[#This Row],[Current Price]]-trades[[#This Row],[Avg Price]])*SUMIF(trades[Symbol],trades[[#This Row],[Symbol]],trades[Qty]),"")</f>
        <v>680</v>
      </c>
      <c r="I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" spans="1:9" x14ac:dyDescent="0.25">
      <c r="A9" s="1">
        <v>45594.434918981482</v>
      </c>
      <c r="B9" s="53" t="s">
        <v>39</v>
      </c>
      <c r="C9">
        <v>375</v>
      </c>
      <c r="D9">
        <v>1.33</v>
      </c>
      <c r="E9">
        <v>-498.75</v>
      </c>
      <c r="F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1.33</v>
      </c>
      <c r="G9" s="2">
        <f>RTD("tos.rtd", , "LAST", trades[[#This Row],[Symbol]])</f>
        <v>0.99504999999999999</v>
      </c>
      <c r="H9" s="2">
        <f>IFERROR((trades[[#This Row],[Current Price]]-trades[[#This Row],[Avg Price]])*SUMIF(trades[Symbol],trades[[#This Row],[Symbol]],trades[Qty]),"")</f>
        <v>-125.60625000000003</v>
      </c>
      <c r="I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" spans="1:9" x14ac:dyDescent="0.25">
      <c r="A10" s="1">
        <v>45782.291747685187</v>
      </c>
      <c r="B10" s="53" t="s">
        <v>40</v>
      </c>
      <c r="C10">
        <v>10</v>
      </c>
      <c r="D10">
        <v>38.950000000000003</v>
      </c>
      <c r="E10">
        <v>-389.5</v>
      </c>
      <c r="F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38.950000000000003</v>
      </c>
      <c r="G10" s="2">
        <f>RTD("tos.rtd", , "LAST", trades[[#This Row],[Symbol]])</f>
        <v>59.06</v>
      </c>
      <c r="H10" s="2">
        <f>IFERROR((trades[[#This Row],[Current Price]]-trades[[#This Row],[Avg Price]])*SUMIF(trades[Symbol],trades[[#This Row],[Symbol]],trades[Qty]),"")</f>
        <v>201.1</v>
      </c>
      <c r="I1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" spans="1:9" x14ac:dyDescent="0.25">
      <c r="A11" s="1">
        <v>45806.423750000002</v>
      </c>
      <c r="B11" s="53" t="s">
        <v>41</v>
      </c>
      <c r="C11">
        <v>5</v>
      </c>
      <c r="D11">
        <v>65.98</v>
      </c>
      <c r="E11">
        <v>-329.90000000000003</v>
      </c>
      <c r="F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1" s="2">
        <f>RTD("tos.rtd", , "LAST", trades[[#This Row],[Symbol]])</f>
        <v>69.89</v>
      </c>
      <c r="H11" s="2">
        <f>IFERROR((trades[[#This Row],[Current Price]]-trades[[#This Row],[Avg Price]])*SUMIF(trades[Symbol],trades[[#This Row],[Symbol]],trades[Qty]),"")</f>
        <v>157.89999999999992</v>
      </c>
      <c r="I1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" spans="1:9" x14ac:dyDescent="0.25">
      <c r="A12" s="1">
        <v>45750.44425925926</v>
      </c>
      <c r="B12" s="53" t="s">
        <v>41</v>
      </c>
      <c r="C12">
        <v>10</v>
      </c>
      <c r="D12">
        <v>56</v>
      </c>
      <c r="E12">
        <v>-560</v>
      </c>
      <c r="F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2" s="2">
        <f>RTD("tos.rtd", , "LAST", trades[[#This Row],[Symbol]])</f>
        <v>69.89</v>
      </c>
      <c r="H12" s="2">
        <f>IFERROR((trades[[#This Row],[Current Price]]-trades[[#This Row],[Avg Price]])*SUMIF(trades[Symbol],trades[[#This Row],[Symbol]],trades[Qty]),"")</f>
        <v>157.89999999999992</v>
      </c>
      <c r="I1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" spans="1:9" x14ac:dyDescent="0.25">
      <c r="A13" s="1">
        <v>45874.39607638889</v>
      </c>
      <c r="B13" s="53" t="s">
        <v>41</v>
      </c>
      <c r="C13">
        <v>5</v>
      </c>
      <c r="D13">
        <v>70</v>
      </c>
      <c r="E13">
        <v>-350</v>
      </c>
      <c r="F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61.995000000000005</v>
      </c>
      <c r="G13" s="2">
        <f>RTD("tos.rtd", , "LAST", trades[[#This Row],[Symbol]])</f>
        <v>69.89</v>
      </c>
      <c r="H13" s="2">
        <f>IFERROR((trades[[#This Row],[Current Price]]-trades[[#This Row],[Avg Price]])*SUMIF(trades[Symbol],trades[[#This Row],[Symbol]],trades[Qty]),"")</f>
        <v>157.89999999999992</v>
      </c>
      <c r="I1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4" spans="1:9" x14ac:dyDescent="0.25">
      <c r="A14" s="1">
        <v>45840.395856481482</v>
      </c>
      <c r="B14" s="53" t="s">
        <v>42</v>
      </c>
      <c r="C14">
        <v>5</v>
      </c>
      <c r="D14">
        <v>70.62</v>
      </c>
      <c r="E14">
        <v>-353.1</v>
      </c>
      <c r="F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70.62</v>
      </c>
      <c r="G14" s="2">
        <f>RTD("tos.rtd", , "LAST", trades[[#This Row],[Symbol]])</f>
        <v>184.32</v>
      </c>
      <c r="H14" s="2">
        <f>IFERROR((trades[[#This Row],[Current Price]]-trades[[#This Row],[Avg Price]])*SUMIF(trades[Symbol],trades[[#This Row],[Symbol]],trades[Qty]),"")</f>
        <v>568.5</v>
      </c>
      <c r="I1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5" spans="1:9" x14ac:dyDescent="0.25">
      <c r="A15" s="1">
        <v>45663.393217592595</v>
      </c>
      <c r="B15" s="53" t="s">
        <v>43</v>
      </c>
      <c r="C15">
        <v>25</v>
      </c>
      <c r="D15">
        <v>20.23</v>
      </c>
      <c r="E15">
        <v>-505.75</v>
      </c>
      <c r="F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5" s="2">
        <f>RTD("tos.rtd", , "LAST", trades[[#This Row],[Symbol]])</f>
        <v>35.229999999999997</v>
      </c>
      <c r="H15" s="2">
        <f>IFERROR((trades[[#This Row],[Current Price]]-trades[[#This Row],[Avg Price]])*SUMIF(trades[Symbol],trades[[#This Row],[Symbol]],trades[Qty]),"")</f>
        <v>1390.4999999999998</v>
      </c>
      <c r="I1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6" spans="1:9" x14ac:dyDescent="0.25">
      <c r="A16" s="1">
        <v>45707.532534722224</v>
      </c>
      <c r="B16" s="53" t="s">
        <v>43</v>
      </c>
      <c r="C16">
        <v>50</v>
      </c>
      <c r="D16">
        <v>14.92</v>
      </c>
      <c r="E16">
        <v>-746</v>
      </c>
      <c r="F1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16.690000000000001</v>
      </c>
      <c r="G16" s="2">
        <f>RTD("tos.rtd", , "LAST", trades[[#This Row],[Symbol]])</f>
        <v>35.229999999999997</v>
      </c>
      <c r="H16" s="2">
        <f>IFERROR((trades[[#This Row],[Current Price]]-trades[[#This Row],[Avg Price]])*SUMIF(trades[Symbol],trades[[#This Row],[Symbol]],trades[Qty]),"")</f>
        <v>1390.4999999999998</v>
      </c>
      <c r="I1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7" spans="1:9" x14ac:dyDescent="0.25">
      <c r="A17" s="1">
        <v>45783.291759259257</v>
      </c>
      <c r="B17" s="53" t="s">
        <v>44</v>
      </c>
      <c r="C17">
        <v>5</v>
      </c>
      <c r="D17">
        <v>69.83</v>
      </c>
      <c r="E17">
        <v>-349.15</v>
      </c>
      <c r="F1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69.83</v>
      </c>
      <c r="G17" s="2">
        <f>RTD("tos.rtd", , "LAST", trades[[#This Row],[Symbol]])</f>
        <v>83</v>
      </c>
      <c r="H17" s="2">
        <f>IFERROR((trades[[#This Row],[Current Price]]-trades[[#This Row],[Avg Price]])*SUMIF(trades[Symbol],trades[[#This Row],[Symbol]],trades[Qty]),"")</f>
        <v>65.850000000000009</v>
      </c>
      <c r="I1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8" spans="1:9" x14ac:dyDescent="0.25">
      <c r="A18" s="1">
        <v>45652.397789351853</v>
      </c>
      <c r="B18" s="53" t="s">
        <v>45</v>
      </c>
      <c r="C18">
        <v>-40</v>
      </c>
      <c r="D18">
        <v>17.9404</v>
      </c>
      <c r="E18">
        <v>717.61599999999999</v>
      </c>
      <c r="F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8" s="2">
        <f>RTD("tos.rtd", , "LAST", trades[[#This Row],[Symbol]])</f>
        <v>9</v>
      </c>
      <c r="H18" s="2" t="str">
        <f>IFERROR((trades[[#This Row],[Current Price]]-trades[[#This Row],[Avg Price]])*SUMIF(trades[Symbol],trades[[#This Row],[Symbol]],trades[Qty]),"")</f>
        <v/>
      </c>
      <c r="I18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>717.61599999999999</v>
      </c>
    </row>
    <row r="19" spans="1:9" x14ac:dyDescent="0.25">
      <c r="A19" s="1">
        <v>45579.521724537037</v>
      </c>
      <c r="B19" s="53" t="s">
        <v>45</v>
      </c>
      <c r="C19">
        <v>40</v>
      </c>
      <c r="D19">
        <v>12.5</v>
      </c>
      <c r="E19">
        <v>-500</v>
      </c>
      <c r="F19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9" s="2">
        <f>RTD("tos.rtd", , "LAST", trades[[#This Row],[Symbol]])</f>
        <v>9</v>
      </c>
      <c r="H19" s="2" t="str">
        <f>IFERROR((trades[[#This Row],[Current Price]]-trades[[#This Row],[Avg Price]])*SUMIF(trades[Symbol],trades[[#This Row],[Symbol]],trades[Qty]),"")</f>
        <v/>
      </c>
      <c r="I1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0" spans="1:9" x14ac:dyDescent="0.25">
      <c r="A20" s="1">
        <v>45902.395914351851</v>
      </c>
      <c r="B20" s="53" t="s">
        <v>46</v>
      </c>
      <c r="C20">
        <v>25</v>
      </c>
      <c r="D20">
        <v>19</v>
      </c>
      <c r="E20">
        <v>-475</v>
      </c>
      <c r="F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20" s="2">
        <f>RTD("tos.rtd", , "LAST", trades[[#This Row],[Symbol]])</f>
        <v>11.04</v>
      </c>
      <c r="H20" s="2">
        <f>IFERROR((trades[[#This Row],[Current Price]]-trades[[#This Row],[Avg Price]])*SUMIF(trades[Symbol],trades[[#This Row],[Symbol]],trades[Qty]),"")</f>
        <v>-199.00000000000003</v>
      </c>
      <c r="I2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1" spans="1:9" x14ac:dyDescent="0.25">
      <c r="A21" s="1">
        <v>45783.580752314818</v>
      </c>
      <c r="B21" s="53" t="s">
        <v>47</v>
      </c>
      <c r="C21">
        <v>5</v>
      </c>
      <c r="D21">
        <v>90</v>
      </c>
      <c r="E21">
        <v>-450</v>
      </c>
      <c r="F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1" s="2">
        <f>RTD("tos.rtd", , "LAST", trades[[#This Row],[Symbol]])</f>
        <v>97.42</v>
      </c>
      <c r="H21" s="2">
        <f>IFERROR((trades[[#This Row],[Current Price]]-trades[[#This Row],[Avg Price]])*SUMIF(trades[Symbol],trades[[#This Row],[Symbol]],trades[Qty]),"")</f>
        <v>-13.299999999999983</v>
      </c>
      <c r="I2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2" spans="1:9" x14ac:dyDescent="0.25">
      <c r="A22" s="1">
        <v>45719.566805555558</v>
      </c>
      <c r="B22" s="53" t="s">
        <v>47</v>
      </c>
      <c r="C22">
        <v>5</v>
      </c>
      <c r="D22">
        <v>107.5</v>
      </c>
      <c r="E22">
        <v>-537.5</v>
      </c>
      <c r="F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98.75</v>
      </c>
      <c r="G22" s="2">
        <f>RTD("tos.rtd", , "LAST", trades[[#This Row],[Symbol]])</f>
        <v>97.42</v>
      </c>
      <c r="H22" s="2">
        <f>IFERROR((trades[[#This Row],[Current Price]]-trades[[#This Row],[Avg Price]])*SUMIF(trades[Symbol],trades[[#This Row],[Symbol]],trades[Qty]),"")</f>
        <v>-13.299999999999983</v>
      </c>
      <c r="I2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3" spans="1:9" x14ac:dyDescent="0.25">
      <c r="A23" s="1">
        <v>45750.30810185185</v>
      </c>
      <c r="B23" s="53" t="s">
        <v>48</v>
      </c>
      <c r="C23">
        <v>15</v>
      </c>
      <c r="D23">
        <v>33.33</v>
      </c>
      <c r="E23">
        <v>-499.95</v>
      </c>
      <c r="F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33.33</v>
      </c>
      <c r="G23" s="2">
        <f>RTD("tos.rtd", , "LAST", trades[[#This Row],[Symbol]])</f>
        <v>27.38</v>
      </c>
      <c r="H23" s="2">
        <f>IFERROR((trades[[#This Row],[Current Price]]-trades[[#This Row],[Avg Price]])*SUMIF(trades[Symbol],trades[[#This Row],[Symbol]],trades[Qty]),"")</f>
        <v>-89.249999999999986</v>
      </c>
      <c r="I2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4" spans="1:9" x14ac:dyDescent="0.25">
      <c r="A24" s="1">
        <v>45782.395844907405</v>
      </c>
      <c r="B24" s="53" t="s">
        <v>49</v>
      </c>
      <c r="C24">
        <v>5</v>
      </c>
      <c r="D24">
        <v>74</v>
      </c>
      <c r="E24">
        <v>-370</v>
      </c>
      <c r="F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74</v>
      </c>
      <c r="G24" s="2">
        <f>RTD("tos.rtd", , "LAST", trades[[#This Row],[Symbol]])</f>
        <v>90.76</v>
      </c>
      <c r="H24" s="2">
        <f>IFERROR((trades[[#This Row],[Current Price]]-trades[[#This Row],[Avg Price]])*SUMIF(trades[Symbol],trades[[#This Row],[Symbol]],trades[Qty]),"")</f>
        <v>83.800000000000026</v>
      </c>
      <c r="I2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5" spans="1:9" x14ac:dyDescent="0.25">
      <c r="A25" s="1">
        <v>45782.395844907405</v>
      </c>
      <c r="B25" s="53" t="s">
        <v>50</v>
      </c>
      <c r="C25">
        <v>5</v>
      </c>
      <c r="D25">
        <v>89.69</v>
      </c>
      <c r="E25">
        <v>-448.45</v>
      </c>
      <c r="F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89.69</v>
      </c>
      <c r="G25" s="2">
        <f>RTD("tos.rtd", , "LAST", trades[[#This Row],[Symbol]])</f>
        <v>104.91</v>
      </c>
      <c r="H25" s="2">
        <f>IFERROR((trades[[#This Row],[Current Price]]-trades[[#This Row],[Avg Price]])*SUMIF(trades[Symbol],trades[[#This Row],[Symbol]],trades[Qty]),"")</f>
        <v>76.099999999999994</v>
      </c>
      <c r="I2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6" spans="1:9" x14ac:dyDescent="0.25">
      <c r="A26" s="1">
        <v>45744.49628472222</v>
      </c>
      <c r="B26" s="53" t="s">
        <v>51</v>
      </c>
      <c r="C26">
        <v>5</v>
      </c>
      <c r="D26">
        <v>100</v>
      </c>
      <c r="E26">
        <v>-500</v>
      </c>
      <c r="F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100</v>
      </c>
      <c r="G26" s="2">
        <f>RTD("tos.rtd", , "LAST", trades[[#This Row],[Symbol]])</f>
        <v>124.58</v>
      </c>
      <c r="H26" s="2">
        <f>IFERROR((trades[[#This Row],[Current Price]]-trades[[#This Row],[Avg Price]])*SUMIF(trades[Symbol],trades[[#This Row],[Symbol]],trades[Qty]),"")</f>
        <v>122.89999999999999</v>
      </c>
      <c r="I2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7" spans="1:9" x14ac:dyDescent="0.25">
      <c r="A27" s="1">
        <v>45874.395856481482</v>
      </c>
      <c r="B27" s="53" t="s">
        <v>52</v>
      </c>
      <c r="C27">
        <v>5</v>
      </c>
      <c r="D27">
        <v>71.260000000000005</v>
      </c>
      <c r="E27">
        <v>-356.3</v>
      </c>
      <c r="F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7" s="2">
        <f>RTD("tos.rtd", , "LAST", trades[[#This Row],[Symbol]])</f>
        <v>74.5</v>
      </c>
      <c r="H27" s="2">
        <f>IFERROR((trades[[#This Row],[Current Price]]-trades[[#This Row],[Avg Price]])*SUMIF(trades[Symbol],trades[[#This Row],[Symbol]],trades[Qty]),"")</f>
        <v>-32.600000000000051</v>
      </c>
      <c r="I2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8" spans="1:9" x14ac:dyDescent="0.25">
      <c r="A28" s="1">
        <v>45810.291666666664</v>
      </c>
      <c r="B28" s="53" t="s">
        <v>52</v>
      </c>
      <c r="C28">
        <v>5</v>
      </c>
      <c r="D28">
        <v>80.97</v>
      </c>
      <c r="E28">
        <v>-404.85</v>
      </c>
      <c r="F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8" s="2">
        <f>RTD("tos.rtd", , "LAST", trades[[#This Row],[Symbol]])</f>
        <v>74.5</v>
      </c>
      <c r="H28" s="2">
        <f>IFERROR((trades[[#This Row],[Current Price]]-trades[[#This Row],[Avg Price]])*SUMIF(trades[Symbol],trades[[#This Row],[Symbol]],trades[Qty]),"")</f>
        <v>-32.600000000000051</v>
      </c>
      <c r="I2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29" spans="1:9" x14ac:dyDescent="0.25">
      <c r="A29" s="1">
        <v>45747.392361111109</v>
      </c>
      <c r="B29" s="53" t="s">
        <v>52</v>
      </c>
      <c r="C29">
        <v>5</v>
      </c>
      <c r="D29">
        <v>75</v>
      </c>
      <c r="E29">
        <v>-375</v>
      </c>
      <c r="F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29" s="2">
        <f>RTD("tos.rtd", , "LAST", trades[[#This Row],[Symbol]])</f>
        <v>74.5</v>
      </c>
      <c r="H29" s="2">
        <f>IFERROR((trades[[#This Row],[Current Price]]-trades[[#This Row],[Avg Price]])*SUMIF(trades[Symbol],trades[[#This Row],[Symbol]],trades[Qty]),"")</f>
        <v>-32.600000000000051</v>
      </c>
      <c r="I2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0" spans="1:9" x14ac:dyDescent="0.25">
      <c r="A30" s="1">
        <v>45840.395833333336</v>
      </c>
      <c r="B30" s="53" t="s">
        <v>52</v>
      </c>
      <c r="C30">
        <v>5</v>
      </c>
      <c r="D30">
        <v>80.3</v>
      </c>
      <c r="E30">
        <v>-401.5</v>
      </c>
      <c r="F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0" s="2">
        <f>RTD("tos.rtd", , "LAST", trades[[#This Row],[Symbol]])</f>
        <v>74.5</v>
      </c>
      <c r="H30" s="2">
        <f>IFERROR((trades[[#This Row],[Current Price]]-trades[[#This Row],[Avg Price]])*SUMIF(trades[Symbol],trades[[#This Row],[Symbol]],trades[Qty]),"")</f>
        <v>-32.600000000000051</v>
      </c>
      <c r="I3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1" spans="1:9" x14ac:dyDescent="0.25">
      <c r="A31" s="1">
        <v>45902.395856481482</v>
      </c>
      <c r="B31" s="53" t="s">
        <v>52</v>
      </c>
      <c r="C31">
        <v>5</v>
      </c>
      <c r="D31">
        <v>71.489999999999995</v>
      </c>
      <c r="E31">
        <v>-357.45</v>
      </c>
      <c r="F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75.804000000000002</v>
      </c>
      <c r="G31" s="2">
        <f>RTD("tos.rtd", , "LAST", trades[[#This Row],[Symbol]])</f>
        <v>74.5</v>
      </c>
      <c r="H31" s="2">
        <f>IFERROR((trades[[#This Row],[Current Price]]-trades[[#This Row],[Avg Price]])*SUMIF(trades[Symbol],trades[[#This Row],[Symbol]],trades[Qty]),"")</f>
        <v>-32.600000000000051</v>
      </c>
      <c r="I3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2" spans="1:9" x14ac:dyDescent="0.25">
      <c r="A32" s="1">
        <v>45754.291666666664</v>
      </c>
      <c r="B32" s="53" t="s">
        <v>53</v>
      </c>
      <c r="C32">
        <v>45</v>
      </c>
      <c r="D32">
        <v>10.84</v>
      </c>
      <c r="E32">
        <v>-487.8</v>
      </c>
      <c r="F3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10.84</v>
      </c>
      <c r="G32" s="2">
        <f>RTD("tos.rtd", , "LAST", trades[[#This Row],[Symbol]])</f>
        <v>19.95</v>
      </c>
      <c r="H32" s="2">
        <f>IFERROR((trades[[#This Row],[Current Price]]-trades[[#This Row],[Avg Price]])*SUMIF(trades[Symbol],trades[[#This Row],[Symbol]],trades[Qty]),"")</f>
        <v>409.95</v>
      </c>
      <c r="I3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3" spans="1:9" x14ac:dyDescent="0.25">
      <c r="A33" s="1">
        <v>45740.634375000001</v>
      </c>
      <c r="B33" s="53" t="s">
        <v>54</v>
      </c>
      <c r="C33">
        <v>50</v>
      </c>
      <c r="D33">
        <v>10.050000000000001</v>
      </c>
      <c r="E33">
        <v>-502.50000000000006</v>
      </c>
      <c r="F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10.050000000000001</v>
      </c>
      <c r="G33" s="2">
        <f>RTD("tos.rtd", , "LAST", trades[[#This Row],[Symbol]])</f>
        <v>8.57</v>
      </c>
      <c r="H33" s="2">
        <f>IFERROR((trades[[#This Row],[Current Price]]-trades[[#This Row],[Avg Price]])*SUMIF(trades[Symbol],trades[[#This Row],[Symbol]],trades[Qty]),"")</f>
        <v>-74.000000000000028</v>
      </c>
      <c r="I3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4" spans="1:9" x14ac:dyDescent="0.25">
      <c r="A34" s="1">
        <v>45810.291759259257</v>
      </c>
      <c r="B34" s="53" t="s">
        <v>55</v>
      </c>
      <c r="C34">
        <v>5</v>
      </c>
      <c r="D34">
        <v>91.76</v>
      </c>
      <c r="E34">
        <v>-458.8</v>
      </c>
      <c r="F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4" s="2">
        <f>RTD("tos.rtd", , "LAST", trades[[#This Row],[Symbol]])</f>
        <v>74.02</v>
      </c>
      <c r="H34" s="2">
        <f>IFERROR((trades[[#This Row],[Current Price]]-trades[[#This Row],[Avg Price]])*SUMIF(trades[Symbol],trades[[#This Row],[Symbol]],trades[Qty]),"")</f>
        <v>-141.1</v>
      </c>
      <c r="I3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5" spans="1:9" x14ac:dyDescent="0.25">
      <c r="A35" s="1">
        <v>45751.308148148149</v>
      </c>
      <c r="B35" s="53" t="s">
        <v>55</v>
      </c>
      <c r="C35">
        <v>5</v>
      </c>
      <c r="D35">
        <v>84.5</v>
      </c>
      <c r="E35">
        <v>-422.5</v>
      </c>
      <c r="F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88.13</v>
      </c>
      <c r="G35" s="2">
        <f>RTD("tos.rtd", , "LAST", trades[[#This Row],[Symbol]])</f>
        <v>74.02</v>
      </c>
      <c r="H35" s="2">
        <f>IFERROR((trades[[#This Row],[Current Price]]-trades[[#This Row],[Avg Price]])*SUMIF(trades[Symbol],trades[[#This Row],[Symbol]],trades[Qty]),"")</f>
        <v>-141.1</v>
      </c>
      <c r="I3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6" spans="1:9" x14ac:dyDescent="0.25">
      <c r="A36" s="1">
        <v>45838.395740740743</v>
      </c>
      <c r="B36" s="53" t="s">
        <v>56</v>
      </c>
      <c r="C36">
        <v>10</v>
      </c>
      <c r="D36">
        <v>44.5</v>
      </c>
      <c r="E36">
        <v>-445</v>
      </c>
      <c r="F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44.5</v>
      </c>
      <c r="G36" s="2">
        <f>RTD("tos.rtd", , "LAST", trades[[#This Row],[Symbol]])</f>
        <v>52.8</v>
      </c>
      <c r="H36" s="2">
        <f>IFERROR((trades[[#This Row],[Current Price]]-trades[[#This Row],[Avg Price]])*SUMIF(trades[Symbol],trades[[#This Row],[Symbol]],trades[Qty]),"")</f>
        <v>82.999999999999972</v>
      </c>
      <c r="I3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7" spans="1:9" x14ac:dyDescent="0.25">
      <c r="A37" s="1">
        <v>45810.395833333336</v>
      </c>
      <c r="B37" s="53" t="s">
        <v>57</v>
      </c>
      <c r="C37">
        <v>10</v>
      </c>
      <c r="D37">
        <v>8.36</v>
      </c>
      <c r="E37">
        <v>-83.6</v>
      </c>
      <c r="F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7" s="2">
        <f>RTD("tos.rtd", , "LAST", trades[[#This Row],[Symbol]])</f>
        <v>5.0199999999999996</v>
      </c>
      <c r="H37" s="2">
        <f>IFERROR((trades[[#This Row],[Current Price]]-trades[[#This Row],[Avg Price]])*SUMIF(trades[Symbol],trades[[#This Row],[Symbol]],trades[Qty]),"")</f>
        <v>-200.40000000000009</v>
      </c>
      <c r="I3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8" spans="1:9" x14ac:dyDescent="0.25">
      <c r="A38" s="1">
        <v>45810.395833333336</v>
      </c>
      <c r="B38" s="53" t="s">
        <v>57</v>
      </c>
      <c r="C38">
        <v>50</v>
      </c>
      <c r="D38">
        <v>8.36</v>
      </c>
      <c r="E38">
        <v>-418</v>
      </c>
      <c r="F3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8.3600000000000012</v>
      </c>
      <c r="G38" s="2">
        <f>RTD("tos.rtd", , "LAST", trades[[#This Row],[Symbol]])</f>
        <v>5.0199999999999996</v>
      </c>
      <c r="H38" s="2">
        <f>IFERROR((trades[[#This Row],[Current Price]]-trades[[#This Row],[Avg Price]])*SUMIF(trades[Symbol],trades[[#This Row],[Symbol]],trades[Qty]),"")</f>
        <v>-200.40000000000009</v>
      </c>
      <c r="I3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39" spans="1:9" x14ac:dyDescent="0.25">
      <c r="A39" s="1">
        <v>45937.395856481482</v>
      </c>
      <c r="B39" s="53" t="s">
        <v>58</v>
      </c>
      <c r="C39">
        <v>10</v>
      </c>
      <c r="D39">
        <v>41.15</v>
      </c>
      <c r="E39">
        <v>-411.5</v>
      </c>
      <c r="F3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41.15</v>
      </c>
      <c r="G39" s="2">
        <f>RTD("tos.rtd", , "LAST", trades[[#This Row],[Symbol]])</f>
        <v>38.97</v>
      </c>
      <c r="H39" s="2">
        <f>IFERROR((trades[[#This Row],[Current Price]]-trades[[#This Row],[Avg Price]])*SUMIF(trades[Symbol],trades[[#This Row],[Symbol]],trades[Qty]),"")</f>
        <v>-21.799999999999997</v>
      </c>
      <c r="I3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0" spans="1:9" x14ac:dyDescent="0.25">
      <c r="A40" s="1">
        <v>45937.395844907405</v>
      </c>
      <c r="B40" s="53" t="s">
        <v>59</v>
      </c>
      <c r="C40">
        <v>5</v>
      </c>
      <c r="D40">
        <v>91.34</v>
      </c>
      <c r="E40">
        <v>-456.70000000000005</v>
      </c>
      <c r="F4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0" s="2">
        <f>RTD("tos.rtd", , "LAST", trades[[#This Row],[Symbol]])</f>
        <v>79.650000000000006</v>
      </c>
      <c r="H40" s="2">
        <f>IFERROR((trades[[#This Row],[Current Price]]-trades[[#This Row],[Avg Price]])*SUMIF(trades[Symbol],trades[[#This Row],[Symbol]],trades[Qty]),"")</f>
        <v>-297.74999999999977</v>
      </c>
      <c r="I4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1" spans="1:9" x14ac:dyDescent="0.25">
      <c r="A41" s="1">
        <v>45902.395856481482</v>
      </c>
      <c r="B41" s="53" t="s">
        <v>59</v>
      </c>
      <c r="C41">
        <v>5</v>
      </c>
      <c r="D41">
        <v>96.26</v>
      </c>
      <c r="E41">
        <v>-481.3</v>
      </c>
      <c r="F4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1" s="2">
        <f>RTD("tos.rtd", , "LAST", trades[[#This Row],[Symbol]])</f>
        <v>79.650000000000006</v>
      </c>
      <c r="H41" s="2">
        <f>IFERROR((trades[[#This Row],[Current Price]]-trades[[#This Row],[Avg Price]])*SUMIF(trades[Symbol],trades[[#This Row],[Symbol]],trades[Qty]),"")</f>
        <v>-297.74999999999977</v>
      </c>
      <c r="I4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2" spans="1:9" x14ac:dyDescent="0.25">
      <c r="A42" s="1">
        <v>45874.395844907405</v>
      </c>
      <c r="B42" s="53" t="s">
        <v>59</v>
      </c>
      <c r="C42">
        <v>5</v>
      </c>
      <c r="D42">
        <v>96.75</v>
      </c>
      <c r="E42">
        <v>-483.75</v>
      </c>
      <c r="F4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2" s="2">
        <f>RTD("tos.rtd", , "LAST", trades[[#This Row],[Symbol]])</f>
        <v>79.650000000000006</v>
      </c>
      <c r="H42" s="2">
        <f>IFERROR((trades[[#This Row],[Current Price]]-trades[[#This Row],[Avg Price]])*SUMIF(trades[Symbol],trades[[#This Row],[Symbol]],trades[Qty]),"")</f>
        <v>-297.74999999999977</v>
      </c>
      <c r="I4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3" spans="1:9" x14ac:dyDescent="0.25">
      <c r="A43" s="1">
        <v>45754.291678240741</v>
      </c>
      <c r="B43" s="53" t="s">
        <v>59</v>
      </c>
      <c r="C43">
        <v>5</v>
      </c>
      <c r="D43">
        <v>93.8</v>
      </c>
      <c r="E43">
        <v>-469</v>
      </c>
      <c r="F4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94.537499999999994</v>
      </c>
      <c r="G43" s="2">
        <f>RTD("tos.rtd", , "LAST", trades[[#This Row],[Symbol]])</f>
        <v>79.650000000000006</v>
      </c>
      <c r="H43" s="2">
        <f>IFERROR((trades[[#This Row],[Current Price]]-trades[[#This Row],[Avg Price]])*SUMIF(trades[Symbol],trades[[#This Row],[Symbol]],trades[Qty]),"")</f>
        <v>-297.74999999999977</v>
      </c>
      <c r="I4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4" spans="1:9" x14ac:dyDescent="0.25">
      <c r="A44" s="1">
        <v>45902.395856481482</v>
      </c>
      <c r="B44" s="53" t="s">
        <v>60</v>
      </c>
      <c r="C44">
        <v>20</v>
      </c>
      <c r="D44">
        <v>26.89</v>
      </c>
      <c r="E44">
        <v>-537.79999999999995</v>
      </c>
      <c r="F4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4" s="2">
        <f>RTD("tos.rtd", , "LAST", trades[[#This Row],[Symbol]])</f>
        <v>30</v>
      </c>
      <c r="H44" s="2">
        <f>IFERROR((trades[[#This Row],[Current Price]]-trades[[#This Row],[Avg Price]])*SUMIF(trades[Symbol],trades[[#This Row],[Symbol]],trades[Qty]),"")</f>
        <v>323.60000000000036</v>
      </c>
      <c r="I4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5" spans="1:9" x14ac:dyDescent="0.25">
      <c r="A45" s="1">
        <v>45874.395856481482</v>
      </c>
      <c r="B45" s="53" t="s">
        <v>60</v>
      </c>
      <c r="C45">
        <v>20</v>
      </c>
      <c r="D45">
        <v>24.28</v>
      </c>
      <c r="E45">
        <v>-485.6</v>
      </c>
      <c r="F4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5" s="2">
        <f>RTD("tos.rtd", , "LAST", trades[[#This Row],[Symbol]])</f>
        <v>30</v>
      </c>
      <c r="H45" s="2">
        <f>IFERROR((trades[[#This Row],[Current Price]]-trades[[#This Row],[Avg Price]])*SUMIF(trades[Symbol],trades[[#This Row],[Symbol]],trades[Qty]),"")</f>
        <v>323.60000000000036</v>
      </c>
      <c r="I4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6" spans="1:9" x14ac:dyDescent="0.25">
      <c r="A46" s="1">
        <v>45806.428460648145</v>
      </c>
      <c r="B46" s="53" t="s">
        <v>60</v>
      </c>
      <c r="C46">
        <v>15</v>
      </c>
      <c r="D46">
        <v>28.28</v>
      </c>
      <c r="E46">
        <v>-424.20000000000005</v>
      </c>
      <c r="F4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6" s="2">
        <f>RTD("tos.rtd", , "LAST", trades[[#This Row],[Symbol]])</f>
        <v>30</v>
      </c>
      <c r="H46" s="2">
        <f>IFERROR((trades[[#This Row],[Current Price]]-trades[[#This Row],[Avg Price]])*SUMIF(trades[Symbol],trades[[#This Row],[Symbol]],trades[Qty]),"")</f>
        <v>323.60000000000036</v>
      </c>
      <c r="I4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7" spans="1:9" x14ac:dyDescent="0.25">
      <c r="A47" s="1">
        <v>45810.291666666664</v>
      </c>
      <c r="B47" s="53" t="s">
        <v>60</v>
      </c>
      <c r="C47">
        <v>15</v>
      </c>
      <c r="D47">
        <v>29.04</v>
      </c>
      <c r="E47">
        <v>-435.59999999999997</v>
      </c>
      <c r="F4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7" s="2">
        <f>RTD("tos.rtd", , "LAST", trades[[#This Row],[Symbol]])</f>
        <v>30</v>
      </c>
      <c r="H47" s="2">
        <f>IFERROR((trades[[#This Row],[Current Price]]-trades[[#This Row],[Avg Price]])*SUMIF(trades[Symbol],trades[[#This Row],[Symbol]],trades[Qty]),"")</f>
        <v>323.60000000000036</v>
      </c>
      <c r="I4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8" spans="1:9" x14ac:dyDescent="0.25">
      <c r="A48" s="1">
        <v>45751.291666666664</v>
      </c>
      <c r="B48" s="53" t="s">
        <v>60</v>
      </c>
      <c r="C48">
        <v>20</v>
      </c>
      <c r="D48">
        <v>24.66</v>
      </c>
      <c r="E48">
        <v>-493.2</v>
      </c>
      <c r="F4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26.40444444444444</v>
      </c>
      <c r="G48" s="2">
        <f>RTD("tos.rtd", , "LAST", trades[[#This Row],[Symbol]])</f>
        <v>30</v>
      </c>
      <c r="H48" s="2">
        <f>IFERROR((trades[[#This Row],[Current Price]]-trades[[#This Row],[Avg Price]])*SUMIF(trades[Symbol],trades[[#This Row],[Symbol]],trades[Qty]),"")</f>
        <v>323.60000000000036</v>
      </c>
      <c r="I4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49" spans="1:9" x14ac:dyDescent="0.25">
      <c r="A49" s="1">
        <v>45902.395833333336</v>
      </c>
      <c r="B49" s="53" t="s">
        <v>61</v>
      </c>
      <c r="C49">
        <v>20</v>
      </c>
      <c r="D49">
        <v>25.79</v>
      </c>
      <c r="E49">
        <v>-515.79999999999995</v>
      </c>
      <c r="F4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49" s="2">
        <f>RTD("tos.rtd", , "LAST", trades[[#This Row],[Symbol]])</f>
        <v>33.03</v>
      </c>
      <c r="H49" s="2">
        <f>IFERROR((trades[[#This Row],[Current Price]]-trades[[#This Row],[Avg Price]])*SUMIF(trades[Symbol],trades[[#This Row],[Symbol]],trades[Qty]),"")</f>
        <v>486.05000000000007</v>
      </c>
      <c r="I4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0" spans="1:9" x14ac:dyDescent="0.25">
      <c r="A50" s="1">
        <v>45747.291666666664</v>
      </c>
      <c r="B50" s="53" t="s">
        <v>61</v>
      </c>
      <c r="C50">
        <v>25</v>
      </c>
      <c r="D50">
        <v>19.38</v>
      </c>
      <c r="E50">
        <v>-484.5</v>
      </c>
      <c r="F5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22.228888888888889</v>
      </c>
      <c r="G50" s="2">
        <f>RTD("tos.rtd", , "LAST", trades[[#This Row],[Symbol]])</f>
        <v>33.03</v>
      </c>
      <c r="H50" s="2">
        <f>IFERROR((trades[[#This Row],[Current Price]]-trades[[#This Row],[Avg Price]])*SUMIF(trades[Symbol],trades[[#This Row],[Symbol]],trades[Qty]),"")</f>
        <v>486.05000000000007</v>
      </c>
      <c r="I5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1" spans="1:9" x14ac:dyDescent="0.25">
      <c r="A51" s="1">
        <v>45608.414699074077</v>
      </c>
      <c r="B51" s="53" t="s">
        <v>62</v>
      </c>
      <c r="C51">
        <v>20</v>
      </c>
      <c r="D51">
        <v>23.26</v>
      </c>
      <c r="E51">
        <v>-465.20000000000005</v>
      </c>
      <c r="F5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1" s="2">
        <f>RTD("tos.rtd", , "LAST", trades[[#This Row],[Symbol]])</f>
        <v>37.39</v>
      </c>
      <c r="H51" s="2">
        <f>IFERROR((trades[[#This Row],[Current Price]]-trades[[#This Row],[Avg Price]])*SUMIF(trades[Symbol],trades[[#This Row],[Symbol]],trades[Qty]),"")</f>
        <v>692.35</v>
      </c>
      <c r="I5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2" spans="1:9" x14ac:dyDescent="0.25">
      <c r="A52" s="1">
        <v>45720.397013888891</v>
      </c>
      <c r="B52" s="53" t="s">
        <v>62</v>
      </c>
      <c r="C52">
        <v>25</v>
      </c>
      <c r="D52">
        <v>21</v>
      </c>
      <c r="E52">
        <v>-525</v>
      </c>
      <c r="F5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22.004444444444445</v>
      </c>
      <c r="G52" s="2">
        <f>RTD("tos.rtd", , "LAST", trades[[#This Row],[Symbol]])</f>
        <v>37.39</v>
      </c>
      <c r="H52" s="2">
        <f>IFERROR((trades[[#This Row],[Current Price]]-trades[[#This Row],[Avg Price]])*SUMIF(trades[Symbol],trades[[#This Row],[Symbol]],trades[Qty]),"")</f>
        <v>692.35</v>
      </c>
      <c r="I5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3" spans="1:9" x14ac:dyDescent="0.25">
      <c r="A53" s="1">
        <v>45902.395856481482</v>
      </c>
      <c r="B53" s="53" t="s">
        <v>63</v>
      </c>
      <c r="C53">
        <v>75</v>
      </c>
      <c r="D53">
        <v>6.11</v>
      </c>
      <c r="E53">
        <v>-458.25</v>
      </c>
      <c r="F5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3" s="2">
        <f>RTD("tos.rtd", , "LAST", trades[[#This Row],[Symbol]])</f>
        <v>6.2</v>
      </c>
      <c r="H53" s="2">
        <f>IFERROR((trades[[#This Row],[Current Price]]-trades[[#This Row],[Avg Price]])*SUMIF(trades[Symbol],trades[[#This Row],[Symbol]],trades[Qty]),"")</f>
        <v>610.27300000000014</v>
      </c>
      <c r="I5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4" spans="1:9" x14ac:dyDescent="0.25">
      <c r="A54" s="1">
        <v>45874.395833333336</v>
      </c>
      <c r="B54" s="53" t="s">
        <v>63</v>
      </c>
      <c r="C54">
        <v>85</v>
      </c>
      <c r="D54">
        <v>5.85</v>
      </c>
      <c r="E54">
        <v>-497.24999999999994</v>
      </c>
      <c r="F5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4" s="2">
        <f>RTD("tos.rtd", , "LAST", trades[[#This Row],[Symbol]])</f>
        <v>6.2</v>
      </c>
      <c r="H54" s="2">
        <f>IFERROR((trades[[#This Row],[Current Price]]-trades[[#This Row],[Avg Price]])*SUMIF(trades[Symbol],trades[[#This Row],[Symbol]],trades[Qty]),"")</f>
        <v>610.27300000000014</v>
      </c>
      <c r="I5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5" spans="1:9" x14ac:dyDescent="0.25">
      <c r="A55" s="1">
        <v>45840.416192129633</v>
      </c>
      <c r="B55" s="53" t="s">
        <v>63</v>
      </c>
      <c r="C55">
        <v>100</v>
      </c>
      <c r="D55">
        <v>4.99</v>
      </c>
      <c r="E55">
        <v>-499</v>
      </c>
      <c r="F5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5" s="2">
        <f>RTD("tos.rtd", , "LAST", trades[[#This Row],[Symbol]])</f>
        <v>6.2</v>
      </c>
      <c r="H55" s="2">
        <f>IFERROR((trades[[#This Row],[Current Price]]-trades[[#This Row],[Avg Price]])*SUMIF(trades[Symbol],trades[[#This Row],[Symbol]],trades[Qty]),"")</f>
        <v>610.27300000000014</v>
      </c>
      <c r="I5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6" spans="1:9" x14ac:dyDescent="0.25">
      <c r="A56" s="1">
        <v>45811.397233796299</v>
      </c>
      <c r="B56" s="53" t="s">
        <v>63</v>
      </c>
      <c r="C56">
        <v>100</v>
      </c>
      <c r="D56">
        <v>5</v>
      </c>
      <c r="E56">
        <v>-500</v>
      </c>
      <c r="F5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6" s="2">
        <f>RTD("tos.rtd", , "LAST", trades[[#This Row],[Symbol]])</f>
        <v>6.2</v>
      </c>
      <c r="H56" s="2">
        <f>IFERROR((trades[[#This Row],[Current Price]]-trades[[#This Row],[Avg Price]])*SUMIF(trades[Symbol],trades[[#This Row],[Symbol]],trades[Qty]),"")</f>
        <v>610.27300000000014</v>
      </c>
      <c r="I5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7" spans="1:9" x14ac:dyDescent="0.25">
      <c r="A57" s="1">
        <v>45740.291770833333</v>
      </c>
      <c r="B57" s="53" t="s">
        <v>63</v>
      </c>
      <c r="C57">
        <v>115</v>
      </c>
      <c r="D57">
        <v>4.3498000000000001</v>
      </c>
      <c r="E57">
        <v>-500.22700000000003</v>
      </c>
      <c r="F5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7" s="2">
        <f>RTD("tos.rtd", , "LAST", trades[[#This Row],[Symbol]])</f>
        <v>6.2</v>
      </c>
      <c r="H57" s="2">
        <f>IFERROR((trades[[#This Row],[Current Price]]-trades[[#This Row],[Avg Price]])*SUMIF(trades[Symbol],trades[[#This Row],[Symbol]],trades[Qty]),"")</f>
        <v>610.27300000000014</v>
      </c>
      <c r="I5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8" spans="1:9" x14ac:dyDescent="0.25">
      <c r="A58" s="1">
        <v>45806.668912037036</v>
      </c>
      <c r="B58" s="53" t="s">
        <v>63</v>
      </c>
      <c r="C58">
        <v>100</v>
      </c>
      <c r="D58">
        <v>5</v>
      </c>
      <c r="E58">
        <v>-500</v>
      </c>
      <c r="F5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5.1386556521739131</v>
      </c>
      <c r="G58" s="2">
        <f>RTD("tos.rtd", , "LAST", trades[[#This Row],[Symbol]])</f>
        <v>6.2</v>
      </c>
      <c r="H58" s="2">
        <f>IFERROR((trades[[#This Row],[Current Price]]-trades[[#This Row],[Avg Price]])*SUMIF(trades[Symbol],trades[[#This Row],[Symbol]],trades[Qty]),"")</f>
        <v>610.27300000000014</v>
      </c>
      <c r="I5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59" spans="1:9" x14ac:dyDescent="0.25">
      <c r="A59" s="1">
        <v>45609.395821759259</v>
      </c>
      <c r="B59" s="53" t="s">
        <v>64</v>
      </c>
      <c r="C59">
        <v>25</v>
      </c>
      <c r="D59">
        <v>17.809999999999999</v>
      </c>
      <c r="E59">
        <v>-445.24999999999994</v>
      </c>
      <c r="F5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59" s="2">
        <f>RTD("tos.rtd", , "LAST", trades[[#This Row],[Symbol]])</f>
        <v>27.86</v>
      </c>
      <c r="H59" s="2">
        <f>IFERROR((trades[[#This Row],[Current Price]]-trades[[#This Row],[Avg Price]])*SUMIF(trades[Symbol],trades[[#This Row],[Symbol]],trades[Qty]),"")</f>
        <v>603.5</v>
      </c>
      <c r="I5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0" spans="1:9" x14ac:dyDescent="0.25">
      <c r="A60" s="1">
        <v>45747.362372685187</v>
      </c>
      <c r="B60" s="53" t="s">
        <v>64</v>
      </c>
      <c r="C60">
        <v>25</v>
      </c>
      <c r="D60">
        <v>21</v>
      </c>
      <c r="E60">
        <v>-525</v>
      </c>
      <c r="F6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0" s="2">
        <f>RTD("tos.rtd", , "LAST", trades[[#This Row],[Symbol]])</f>
        <v>27.86</v>
      </c>
      <c r="H60" s="2">
        <f>IFERROR((trades[[#This Row],[Current Price]]-trades[[#This Row],[Avg Price]])*SUMIF(trades[Symbol],trades[[#This Row],[Symbol]],trades[Qty]),"")</f>
        <v>603.5</v>
      </c>
      <c r="I6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1" spans="1:9" x14ac:dyDescent="0.25">
      <c r="A61" s="1">
        <v>45817.461053240739</v>
      </c>
      <c r="B61" s="53" t="s">
        <v>64</v>
      </c>
      <c r="C61">
        <v>25</v>
      </c>
      <c r="D61">
        <v>20.63</v>
      </c>
      <c r="E61">
        <v>-515.75</v>
      </c>
      <c r="F6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19.813333333333333</v>
      </c>
      <c r="G61" s="2">
        <f>RTD("tos.rtd", , "LAST", trades[[#This Row],[Symbol]])</f>
        <v>27.86</v>
      </c>
      <c r="H61" s="2">
        <f>IFERROR((trades[[#This Row],[Current Price]]-trades[[#This Row],[Avg Price]])*SUMIF(trades[Symbol],trades[[#This Row],[Symbol]],trades[Qty]),"")</f>
        <v>603.5</v>
      </c>
      <c r="I6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2" spans="1:9" x14ac:dyDescent="0.25">
      <c r="A62" s="1">
        <v>45831.396608796298</v>
      </c>
      <c r="B62" s="53" t="s">
        <v>65</v>
      </c>
      <c r="C62">
        <v>10</v>
      </c>
      <c r="D62">
        <v>46</v>
      </c>
      <c r="E62">
        <v>-460</v>
      </c>
      <c r="F6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46</v>
      </c>
      <c r="G62" s="2">
        <f>RTD("tos.rtd", , "LAST", trades[[#This Row],[Symbol]])</f>
        <v>48.87</v>
      </c>
      <c r="H62" s="2">
        <f>IFERROR((trades[[#This Row],[Current Price]]-trades[[#This Row],[Avg Price]])*SUMIF(trades[Symbol],trades[[#This Row],[Symbol]],trades[Qty]),"")</f>
        <v>28.699999999999974</v>
      </c>
      <c r="I6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3" spans="1:9" x14ac:dyDescent="0.25">
      <c r="A63" s="1">
        <v>45747.31521990741</v>
      </c>
      <c r="B63" s="53" t="s">
        <v>66</v>
      </c>
      <c r="C63">
        <v>5</v>
      </c>
      <c r="D63">
        <v>92</v>
      </c>
      <c r="E63">
        <v>-460</v>
      </c>
      <c r="F6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92</v>
      </c>
      <c r="G63" s="2">
        <f>RTD("tos.rtd", , "LAST", trades[[#This Row],[Symbol]])</f>
        <v>107.86</v>
      </c>
      <c r="H63" s="2">
        <f>IFERROR((trades[[#This Row],[Current Price]]-trades[[#This Row],[Avg Price]])*SUMIF(trades[Symbol],trades[[#This Row],[Symbol]],trades[Qty]),"")</f>
        <v>79.3</v>
      </c>
      <c r="I6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4" spans="1:9" x14ac:dyDescent="0.25">
      <c r="A64" s="1">
        <v>45580.291666666664</v>
      </c>
      <c r="B64" s="53" t="s">
        <v>67</v>
      </c>
      <c r="C64">
        <v>135</v>
      </c>
      <c r="D64">
        <v>3.47</v>
      </c>
      <c r="E64">
        <v>-468.45000000000005</v>
      </c>
      <c r="F6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3.47</v>
      </c>
      <c r="G64" s="2">
        <f>RTD("tos.rtd", , "LAST", trades[[#This Row],[Symbol]])</f>
        <v>2.7</v>
      </c>
      <c r="H64" s="2">
        <f>IFERROR((trades[[#This Row],[Current Price]]-trades[[#This Row],[Avg Price]])*SUMIF(trades[Symbol],trades[[#This Row],[Symbol]],trades[Qty]),"")</f>
        <v>-103.95</v>
      </c>
      <c r="I6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5" spans="1:9" x14ac:dyDescent="0.25">
      <c r="A65" s="1">
        <v>45782.670138888891</v>
      </c>
      <c r="B65" s="53" t="s">
        <v>68</v>
      </c>
      <c r="C65">
        <v>30</v>
      </c>
      <c r="D65">
        <v>16</v>
      </c>
      <c r="E65">
        <v>-480</v>
      </c>
      <c r="F6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16</v>
      </c>
      <c r="G65" s="2">
        <f>RTD("tos.rtd", , "LAST", trades[[#This Row],[Symbol]])</f>
        <v>21.19</v>
      </c>
      <c r="H65" s="2">
        <f>IFERROR((trades[[#This Row],[Current Price]]-trades[[#This Row],[Avg Price]])*SUMIF(trades[Symbol],trades[[#This Row],[Symbol]],trades[Qty]),"")</f>
        <v>155.70000000000005</v>
      </c>
      <c r="I6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6" spans="1:9" x14ac:dyDescent="0.25">
      <c r="A66" s="1">
        <v>45663.309421296297</v>
      </c>
      <c r="B66" s="53" t="s">
        <v>69</v>
      </c>
      <c r="C66">
        <v>5</v>
      </c>
      <c r="D66">
        <v>7.18</v>
      </c>
      <c r="E66">
        <v>-35.9</v>
      </c>
      <c r="F6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6" s="2">
        <f>RTD("tos.rtd", , "LAST", trades[[#This Row],[Symbol]])</f>
        <v>6.49</v>
      </c>
      <c r="H66" s="2">
        <f>IFERROR((trades[[#This Row],[Current Price]]-trades[[#This Row],[Avg Price]])*SUMIF(trades[Symbol],trades[[#This Row],[Symbol]],trades[Qty]),"")</f>
        <v>-44.849999999999909</v>
      </c>
      <c r="I6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7" spans="1:9" x14ac:dyDescent="0.25">
      <c r="A67" s="1">
        <v>45663.299363425926</v>
      </c>
      <c r="B67" s="53" t="s">
        <v>69</v>
      </c>
      <c r="C67">
        <v>5</v>
      </c>
      <c r="D67">
        <v>7.18</v>
      </c>
      <c r="E67">
        <v>-35.9</v>
      </c>
      <c r="F6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7" s="2">
        <f>RTD("tos.rtd", , "LAST", trades[[#This Row],[Symbol]])</f>
        <v>6.49</v>
      </c>
      <c r="H67" s="2">
        <f>IFERROR((trades[[#This Row],[Current Price]]-trades[[#This Row],[Avg Price]])*SUMIF(trades[Symbol],trades[[#This Row],[Symbol]],trades[Qty]),"")</f>
        <v>-44.849999999999909</v>
      </c>
      <c r="I6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8" spans="1:9" x14ac:dyDescent="0.25">
      <c r="A68" s="1">
        <v>45663.301111111112</v>
      </c>
      <c r="B68" s="53" t="s">
        <v>69</v>
      </c>
      <c r="C68">
        <v>5</v>
      </c>
      <c r="D68">
        <v>7.18</v>
      </c>
      <c r="E68">
        <v>-35.9</v>
      </c>
      <c r="F6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8" s="2">
        <f>RTD("tos.rtd", , "LAST", trades[[#This Row],[Symbol]])</f>
        <v>6.49</v>
      </c>
      <c r="H68" s="2">
        <f>IFERROR((trades[[#This Row],[Current Price]]-trades[[#This Row],[Avg Price]])*SUMIF(trades[Symbol],trades[[#This Row],[Symbol]],trades[Qty]),"")</f>
        <v>-44.849999999999909</v>
      </c>
      <c r="I6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69" spans="1:9" x14ac:dyDescent="0.25">
      <c r="A69" s="1">
        <v>45663.301377314812</v>
      </c>
      <c r="B69" s="53" t="s">
        <v>69</v>
      </c>
      <c r="C69">
        <v>5</v>
      </c>
      <c r="D69">
        <v>7.18</v>
      </c>
      <c r="E69">
        <v>-35.9</v>
      </c>
      <c r="F6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69" s="2">
        <f>RTD("tos.rtd", , "LAST", trades[[#This Row],[Symbol]])</f>
        <v>6.49</v>
      </c>
      <c r="H69" s="2">
        <f>IFERROR((trades[[#This Row],[Current Price]]-trades[[#This Row],[Avg Price]])*SUMIF(trades[Symbol],trades[[#This Row],[Symbol]],trades[Qty]),"")</f>
        <v>-44.849999999999909</v>
      </c>
      <c r="I6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0" spans="1:9" x14ac:dyDescent="0.25">
      <c r="A70" s="1">
        <v>45663.392731481479</v>
      </c>
      <c r="B70" s="53" t="s">
        <v>69</v>
      </c>
      <c r="C70">
        <v>45</v>
      </c>
      <c r="D70">
        <v>7.18</v>
      </c>
      <c r="E70">
        <v>-323.09999999999997</v>
      </c>
      <c r="F7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7.1799999999999988</v>
      </c>
      <c r="G70" s="2">
        <f>RTD("tos.rtd", , "LAST", trades[[#This Row],[Symbol]])</f>
        <v>6.49</v>
      </c>
      <c r="H70" s="2">
        <f>IFERROR((trades[[#This Row],[Current Price]]-trades[[#This Row],[Avg Price]])*SUMIF(trades[Symbol],trades[[#This Row],[Symbol]],trades[Qty]),"")</f>
        <v>-44.849999999999909</v>
      </c>
      <c r="I7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1" spans="1:9" x14ac:dyDescent="0.25">
      <c r="A71" s="1">
        <v>45663.395833333336</v>
      </c>
      <c r="B71" s="53" t="s">
        <v>111</v>
      </c>
      <c r="C71">
        <v>10</v>
      </c>
      <c r="D71">
        <v>428</v>
      </c>
      <c r="E71">
        <v>-4280</v>
      </c>
      <c r="F71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1" s="2">
        <f>RTD("tos.rtd", , "LAST", trades[[#This Row],[Symbol]])</f>
        <v>411.21</v>
      </c>
      <c r="H71" s="2" t="str">
        <f>IFERROR((trades[[#This Row],[Current Price]]-trades[[#This Row],[Avg Price]])*SUMIF(trades[Symbol],trades[[#This Row],[Symbol]],trades[Qty]),"")</f>
        <v/>
      </c>
      <c r="I7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2" spans="1:9" x14ac:dyDescent="0.25">
      <c r="A72" s="1">
        <v>45937.395833333336</v>
      </c>
      <c r="B72" s="53" t="s">
        <v>111</v>
      </c>
      <c r="C72">
        <v>-10</v>
      </c>
      <c r="D72">
        <v>528.20000000000005</v>
      </c>
      <c r="E72">
        <v>5282</v>
      </c>
      <c r="F7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72" s="2">
        <f>RTD("tos.rtd", , "LAST", trades[[#This Row],[Symbol]])</f>
        <v>411.21</v>
      </c>
      <c r="H72" s="2" t="str">
        <f>IFERROR((trades[[#This Row],[Current Price]]-trades[[#This Row],[Avg Price]])*SUMIF(trades[Symbol],trades[[#This Row],[Symbol]],trades[Qty]),"")</f>
        <v/>
      </c>
      <c r="I72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>1002</v>
      </c>
    </row>
    <row r="73" spans="1:9" x14ac:dyDescent="0.25">
      <c r="A73" s="1">
        <v>45902.395844907405</v>
      </c>
      <c r="B73" s="53" t="s">
        <v>70</v>
      </c>
      <c r="C73">
        <v>10</v>
      </c>
      <c r="D73">
        <v>39</v>
      </c>
      <c r="E73">
        <v>-390</v>
      </c>
      <c r="F7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3" s="2">
        <f>RTD("tos.rtd", , "LAST", trades[[#This Row],[Symbol]])</f>
        <v>38.72</v>
      </c>
      <c r="H73" s="2">
        <f>IFERROR((trades[[#This Row],[Current Price]]-trades[[#This Row],[Avg Price]])*SUMIF(trades[Symbol],trades[[#This Row],[Symbol]],trades[Qty]),"")</f>
        <v>83</v>
      </c>
      <c r="I7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4" spans="1:9" x14ac:dyDescent="0.25">
      <c r="A74" s="1">
        <v>45754.395833333336</v>
      </c>
      <c r="B74" s="53" t="s">
        <v>70</v>
      </c>
      <c r="C74">
        <v>15</v>
      </c>
      <c r="D74">
        <v>33</v>
      </c>
      <c r="E74">
        <v>-495</v>
      </c>
      <c r="F7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35.4</v>
      </c>
      <c r="G74" s="2">
        <f>RTD("tos.rtd", , "LAST", trades[[#This Row],[Symbol]])</f>
        <v>38.72</v>
      </c>
      <c r="H74" s="2">
        <f>IFERROR((trades[[#This Row],[Current Price]]-trades[[#This Row],[Avg Price]])*SUMIF(trades[Symbol],trades[[#This Row],[Symbol]],trades[Qty]),"")</f>
        <v>83</v>
      </c>
      <c r="I7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5" spans="1:9" x14ac:dyDescent="0.25">
      <c r="A75" s="1">
        <v>45937.395833333336</v>
      </c>
      <c r="B75" s="53" t="s">
        <v>71</v>
      </c>
      <c r="C75">
        <v>5</v>
      </c>
      <c r="D75">
        <v>78.34</v>
      </c>
      <c r="E75">
        <v>-391.70000000000005</v>
      </c>
      <c r="F7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78.34</v>
      </c>
      <c r="G75" s="2">
        <f>RTD("tos.rtd", , "LAST", trades[[#This Row],[Symbol]])</f>
        <v>119.85</v>
      </c>
      <c r="H75" s="2">
        <f>IFERROR((trades[[#This Row],[Current Price]]-trades[[#This Row],[Avg Price]])*SUMIF(trades[Symbol],trades[[#This Row],[Symbol]],trades[Qty]),"")</f>
        <v>207.54999999999995</v>
      </c>
      <c r="I7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6" spans="1:9" x14ac:dyDescent="0.25">
      <c r="A76" s="1">
        <v>45744.442199074074</v>
      </c>
      <c r="B76" s="53" t="s">
        <v>72</v>
      </c>
      <c r="C76">
        <v>10</v>
      </c>
      <c r="D76">
        <v>42</v>
      </c>
      <c r="E76">
        <v>-420</v>
      </c>
      <c r="F7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6" s="2">
        <f>RTD("tos.rtd", , "LAST", trades[[#This Row],[Symbol]])</f>
        <v>59.43</v>
      </c>
      <c r="H76" s="2">
        <f>IFERROR((trades[[#This Row],[Current Price]]-trades[[#This Row],[Avg Price]])*SUMIF(trades[Symbol],trades[[#This Row],[Symbol]],trades[Qty]),"")</f>
        <v>348.6</v>
      </c>
      <c r="I7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7" spans="1:9" x14ac:dyDescent="0.25">
      <c r="A77" s="1">
        <v>45807.399710648147</v>
      </c>
      <c r="B77" s="53" t="s">
        <v>72</v>
      </c>
      <c r="C77">
        <v>10</v>
      </c>
      <c r="D77">
        <v>42</v>
      </c>
      <c r="E77">
        <v>-420</v>
      </c>
      <c r="F7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</v>
      </c>
      <c r="G77" s="2">
        <f>RTD("tos.rtd", , "LAST", trades[[#This Row],[Symbol]])</f>
        <v>59.43</v>
      </c>
      <c r="H77" s="2">
        <f>IFERROR((trades[[#This Row],[Current Price]]-trades[[#This Row],[Avg Price]])*SUMIF(trades[Symbol],trades[[#This Row],[Symbol]],trades[Qty]),"")</f>
        <v>348.6</v>
      </c>
      <c r="I7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8" spans="1:9" x14ac:dyDescent="0.25">
      <c r="A78" s="1">
        <v>45784.590578703705</v>
      </c>
      <c r="B78" s="53" t="s">
        <v>73</v>
      </c>
      <c r="C78">
        <v>15</v>
      </c>
      <c r="D78">
        <v>33.33</v>
      </c>
      <c r="E78">
        <v>-499.95</v>
      </c>
      <c r="F7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8" s="2">
        <f>RTD("tos.rtd", , "LAST", trades[[#This Row],[Symbol]])</f>
        <v>44.11</v>
      </c>
      <c r="H78" s="2">
        <f>IFERROR((trades[[#This Row],[Current Price]]-trades[[#This Row],[Avg Price]])*SUMIF(trades[Symbol],trades[[#This Row],[Symbol]],trades[Qty]),"")</f>
        <v>236.59999999999997</v>
      </c>
      <c r="I7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79" spans="1:9" x14ac:dyDescent="0.25">
      <c r="A79" s="1">
        <v>45751.310370370367</v>
      </c>
      <c r="B79" s="53" t="s">
        <v>73</v>
      </c>
      <c r="C79">
        <v>10</v>
      </c>
      <c r="D79">
        <v>36.619999999999997</v>
      </c>
      <c r="E79">
        <v>-366.2</v>
      </c>
      <c r="F7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34.646000000000001</v>
      </c>
      <c r="G79" s="2">
        <f>RTD("tos.rtd", , "LAST", trades[[#This Row],[Symbol]])</f>
        <v>44.11</v>
      </c>
      <c r="H79" s="2">
        <f>IFERROR((trades[[#This Row],[Current Price]]-trades[[#This Row],[Avg Price]])*SUMIF(trades[Symbol],trades[[#This Row],[Symbol]],trades[Qty]),"")</f>
        <v>236.59999999999997</v>
      </c>
      <c r="I7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0" spans="1:9" x14ac:dyDescent="0.25">
      <c r="A80" s="1">
        <v>45810.396203703705</v>
      </c>
      <c r="B80" s="53" t="s">
        <v>74</v>
      </c>
      <c r="C80">
        <v>5</v>
      </c>
      <c r="D80">
        <v>96</v>
      </c>
      <c r="E80">
        <v>-480</v>
      </c>
      <c r="F8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115.245</v>
      </c>
      <c r="G80" s="2">
        <f>RTD("tos.rtd", , "LAST", trades[[#This Row],[Symbol]])</f>
        <v>103.32</v>
      </c>
      <c r="H80" s="2">
        <f>IFERROR((trades[[#This Row],[Current Price]]-trades[[#This Row],[Avg Price]])*SUMIF(trades[Symbol],trades[[#This Row],[Symbol]],trades[Qty]),"")</f>
        <v>-119.25000000000011</v>
      </c>
      <c r="I8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1" spans="1:9" x14ac:dyDescent="0.25">
      <c r="A81" s="1">
        <v>45937.395844907405</v>
      </c>
      <c r="B81" s="53" t="s">
        <v>74</v>
      </c>
      <c r="C81">
        <v>5</v>
      </c>
      <c r="D81">
        <v>134.49</v>
      </c>
      <c r="E81">
        <v>-672.45</v>
      </c>
      <c r="F8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115.245</v>
      </c>
      <c r="G81" s="2">
        <f>RTD("tos.rtd", , "LAST", trades[[#This Row],[Symbol]])</f>
        <v>103.32</v>
      </c>
      <c r="H81" s="2">
        <f>IFERROR((trades[[#This Row],[Current Price]]-trades[[#This Row],[Avg Price]])*SUMIF(trades[Symbol],trades[[#This Row],[Symbol]],trades[Qty]),"")</f>
        <v>-119.25000000000011</v>
      </c>
      <c r="I8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2" spans="1:9" x14ac:dyDescent="0.25">
      <c r="A82" s="1">
        <v>45636.500023148146</v>
      </c>
      <c r="B82" s="53" t="s">
        <v>75</v>
      </c>
      <c r="C82">
        <v>5</v>
      </c>
      <c r="D82">
        <v>60.98</v>
      </c>
      <c r="E82">
        <v>-304.89999999999998</v>
      </c>
      <c r="F8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2" s="2">
        <f>RTD("tos.rtd", , "LAST", trades[[#This Row],[Symbol]])</f>
        <v>81.849999999999994</v>
      </c>
      <c r="H82" s="2">
        <f>IFERROR((trades[[#This Row],[Current Price]]-trades[[#This Row],[Avg Price]])*SUMIF(trades[Symbol],trades[[#This Row],[Symbol]],trades[Qty]),"")</f>
        <v>241.1</v>
      </c>
      <c r="I8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3" spans="1:9" x14ac:dyDescent="0.25">
      <c r="A83" s="1">
        <v>45700.781307870369</v>
      </c>
      <c r="B83" s="53" t="s">
        <v>75</v>
      </c>
      <c r="C83">
        <v>5</v>
      </c>
      <c r="D83">
        <v>54.5</v>
      </c>
      <c r="E83">
        <v>-272.5</v>
      </c>
      <c r="F8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57.739999999999995</v>
      </c>
      <c r="G83" s="2">
        <f>RTD("tos.rtd", , "LAST", trades[[#This Row],[Symbol]])</f>
        <v>81.849999999999994</v>
      </c>
      <c r="H83" s="2">
        <f>IFERROR((trades[[#This Row],[Current Price]]-trades[[#This Row],[Avg Price]])*SUMIF(trades[Symbol],trades[[#This Row],[Symbol]],trades[Qty]),"")</f>
        <v>241.1</v>
      </c>
      <c r="I8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4" spans="1:9" x14ac:dyDescent="0.25">
      <c r="A84" s="1">
        <v>45937.395844907405</v>
      </c>
      <c r="B84" s="53" t="s">
        <v>76</v>
      </c>
      <c r="C84">
        <v>5</v>
      </c>
      <c r="D84">
        <v>132.53</v>
      </c>
      <c r="E84">
        <v>-662.65</v>
      </c>
      <c r="F8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4" s="2">
        <f>RTD("tos.rtd", , "LAST", trades[[#This Row],[Symbol]])</f>
        <v>130.46</v>
      </c>
      <c r="H84" s="2">
        <f>IFERROR((trades[[#This Row],[Current Price]]-trades[[#This Row],[Avg Price]])*SUMIF(trades[Symbol],trades[[#This Row],[Symbol]],trades[Qty]),"")</f>
        <v>151.80000000000007</v>
      </c>
      <c r="I8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5" spans="1:9" x14ac:dyDescent="0.25">
      <c r="A85" s="1">
        <v>45810.291678240741</v>
      </c>
      <c r="B85" s="53" t="s">
        <v>76</v>
      </c>
      <c r="C85">
        <v>5</v>
      </c>
      <c r="D85">
        <v>98.03</v>
      </c>
      <c r="E85">
        <v>-490.15</v>
      </c>
      <c r="F8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115.28</v>
      </c>
      <c r="G85" s="2">
        <f>RTD("tos.rtd", , "LAST", trades[[#This Row],[Symbol]])</f>
        <v>130.46</v>
      </c>
      <c r="H85" s="2">
        <f>IFERROR((trades[[#This Row],[Current Price]]-trades[[#This Row],[Avg Price]])*SUMIF(trades[Symbol],trades[[#This Row],[Symbol]],trades[Qty]),"")</f>
        <v>151.80000000000007</v>
      </c>
      <c r="I8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6" spans="1:9" x14ac:dyDescent="0.25">
      <c r="A86" s="1">
        <v>45902.395879629628</v>
      </c>
      <c r="B86" s="53" t="s">
        <v>77</v>
      </c>
      <c r="C86">
        <v>10</v>
      </c>
      <c r="D86">
        <v>42.14</v>
      </c>
      <c r="E86">
        <v>-421.4</v>
      </c>
      <c r="F8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42.14</v>
      </c>
      <c r="G86" s="2">
        <f>RTD("tos.rtd", , "LAST", trades[[#This Row],[Symbol]])</f>
        <v>54.73</v>
      </c>
      <c r="H86" s="2">
        <f>IFERROR((trades[[#This Row],[Current Price]]-trades[[#This Row],[Avg Price]])*SUMIF(trades[Symbol],trades[[#This Row],[Symbol]],trades[Qty]),"")</f>
        <v>125.89999999999996</v>
      </c>
      <c r="I8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7" spans="1:9" x14ac:dyDescent="0.25">
      <c r="A87" s="1">
        <v>45810.395925925928</v>
      </c>
      <c r="B87" s="53" t="s">
        <v>78</v>
      </c>
      <c r="C87">
        <v>45</v>
      </c>
      <c r="D87">
        <v>9.93</v>
      </c>
      <c r="E87">
        <v>-446.84999999999997</v>
      </c>
      <c r="F8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7" s="2">
        <f>RTD("tos.rtd", , "LAST", trades[[#This Row],[Symbol]])</f>
        <v>8.9600000000000009</v>
      </c>
      <c r="H87" s="2">
        <f>IFERROR((trades[[#This Row],[Current Price]]-trades[[#This Row],[Avg Price]])*SUMIF(trades[Symbol],trades[[#This Row],[Symbol]],trades[Qty]),"")</f>
        <v>-208.47499999999985</v>
      </c>
      <c r="I8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8" spans="1:9" x14ac:dyDescent="0.25">
      <c r="A88" s="1">
        <v>45874.395844907405</v>
      </c>
      <c r="B88" s="53" t="s">
        <v>78</v>
      </c>
      <c r="C88">
        <v>45</v>
      </c>
      <c r="D88">
        <v>10.67</v>
      </c>
      <c r="E88">
        <v>-480.15</v>
      </c>
      <c r="F8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8" s="2">
        <f>RTD("tos.rtd", , "LAST", trades[[#This Row],[Symbol]])</f>
        <v>8.9600000000000009</v>
      </c>
      <c r="H88" s="2">
        <f>IFERROR((trades[[#This Row],[Current Price]]-trades[[#This Row],[Avg Price]])*SUMIF(trades[Symbol],trades[[#This Row],[Symbol]],trades[Qty]),"")</f>
        <v>-208.47499999999985</v>
      </c>
      <c r="I8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89" spans="1:9" x14ac:dyDescent="0.25">
      <c r="A89" s="1">
        <v>45810.374930555554</v>
      </c>
      <c r="B89" s="53" t="s">
        <v>78</v>
      </c>
      <c r="C89">
        <v>5</v>
      </c>
      <c r="D89">
        <v>9.93</v>
      </c>
      <c r="E89">
        <v>-49.65</v>
      </c>
      <c r="F8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89" s="2">
        <f>RTD("tos.rtd", , "LAST", trades[[#This Row],[Symbol]])</f>
        <v>8.9600000000000009</v>
      </c>
      <c r="H89" s="2">
        <f>IFERROR((trades[[#This Row],[Current Price]]-trades[[#This Row],[Avg Price]])*SUMIF(trades[Symbol],trades[[#This Row],[Symbol]],trades[Qty]),"")</f>
        <v>-208.47499999999985</v>
      </c>
      <c r="I8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0" spans="1:9" x14ac:dyDescent="0.25">
      <c r="A90" s="1">
        <v>45747.291678240741</v>
      </c>
      <c r="B90" s="53" t="s">
        <v>78</v>
      </c>
      <c r="C90">
        <v>45</v>
      </c>
      <c r="D90">
        <v>10.805</v>
      </c>
      <c r="E90">
        <v>-486.22499999999997</v>
      </c>
      <c r="F9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10.449107142857143</v>
      </c>
      <c r="G90" s="2">
        <f>RTD("tos.rtd", , "LAST", trades[[#This Row],[Symbol]])</f>
        <v>8.9600000000000009</v>
      </c>
      <c r="H90" s="2">
        <f>IFERROR((trades[[#This Row],[Current Price]]-trades[[#This Row],[Avg Price]])*SUMIF(trades[Symbol],trades[[#This Row],[Symbol]],trades[Qty]),"")</f>
        <v>-208.47499999999985</v>
      </c>
      <c r="I9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1" spans="1:9" x14ac:dyDescent="0.25">
      <c r="A91" s="1">
        <v>45807.379004629627</v>
      </c>
      <c r="B91" s="53" t="s">
        <v>79</v>
      </c>
      <c r="C91">
        <v>25</v>
      </c>
      <c r="D91">
        <v>18</v>
      </c>
      <c r="E91">
        <v>-450</v>
      </c>
      <c r="F9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1" s="2">
        <f>RTD("tos.rtd", , "LAST", trades[[#This Row],[Symbol]])</f>
        <v>19.73</v>
      </c>
      <c r="H91" s="2">
        <f>IFERROR((trades[[#This Row],[Current Price]]-trades[[#This Row],[Avg Price]])*SUMIF(trades[Symbol],trades[[#This Row],[Symbol]],trades[Qty]),"")</f>
        <v>54.750000000000028</v>
      </c>
      <c r="I9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2" spans="1:9" x14ac:dyDescent="0.25">
      <c r="A92" s="1">
        <v>45750.417824074073</v>
      </c>
      <c r="B92" s="53" t="s">
        <v>79</v>
      </c>
      <c r="C92">
        <v>25</v>
      </c>
      <c r="D92">
        <v>20</v>
      </c>
      <c r="E92">
        <v>-500</v>
      </c>
      <c r="F9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2" s="2">
        <f>RTD("tos.rtd", , "LAST", trades[[#This Row],[Symbol]])</f>
        <v>19.73</v>
      </c>
      <c r="H92" s="2">
        <f>IFERROR((trades[[#This Row],[Current Price]]-trades[[#This Row],[Avg Price]])*SUMIF(trades[Symbol],trades[[#This Row],[Symbol]],trades[Qty]),"")</f>
        <v>54.750000000000028</v>
      </c>
      <c r="I9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3" spans="1:9" x14ac:dyDescent="0.25">
      <c r="A93" s="1">
        <v>45810.397222222222</v>
      </c>
      <c r="B93" s="53" t="s">
        <v>79</v>
      </c>
      <c r="C93">
        <v>25</v>
      </c>
      <c r="D93">
        <v>19</v>
      </c>
      <c r="E93">
        <v>-475</v>
      </c>
      <c r="F9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19</v>
      </c>
      <c r="G93" s="2">
        <f>RTD("tos.rtd", , "LAST", trades[[#This Row],[Symbol]])</f>
        <v>19.73</v>
      </c>
      <c r="H93" s="2">
        <f>IFERROR((trades[[#This Row],[Current Price]]-trades[[#This Row],[Avg Price]])*SUMIF(trades[Symbol],trades[[#This Row],[Symbol]],trades[Qty]),"")</f>
        <v>54.750000000000028</v>
      </c>
      <c r="I9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4" spans="1:9" x14ac:dyDescent="0.25">
      <c r="A94" s="1">
        <v>45782.291678240741</v>
      </c>
      <c r="B94" s="53" t="s">
        <v>80</v>
      </c>
      <c r="C94">
        <v>20</v>
      </c>
      <c r="D94">
        <v>22.52</v>
      </c>
      <c r="E94">
        <v>-450.4</v>
      </c>
      <c r="F9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22.52</v>
      </c>
      <c r="G94" s="2">
        <f>RTD("tos.rtd", , "LAST", trades[[#This Row],[Symbol]])</f>
        <v>24.1</v>
      </c>
      <c r="H94" s="2">
        <f>IFERROR((trades[[#This Row],[Current Price]]-trades[[#This Row],[Avg Price]])*SUMIF(trades[Symbol],trades[[#This Row],[Symbol]],trades[Qty]),"")</f>
        <v>31.600000000000037</v>
      </c>
      <c r="I9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5" spans="1:9" x14ac:dyDescent="0.25">
      <c r="A95" s="1">
        <v>45840.396608796298</v>
      </c>
      <c r="B95" s="53" t="s">
        <v>81</v>
      </c>
      <c r="C95">
        <v>30</v>
      </c>
      <c r="D95">
        <v>11.8</v>
      </c>
      <c r="E95">
        <v>-354</v>
      </c>
      <c r="F9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11.8</v>
      </c>
      <c r="G95" s="2">
        <f>RTD("tos.rtd", , "LAST", trades[[#This Row],[Symbol]])</f>
        <v>13</v>
      </c>
      <c r="H95" s="2">
        <f>IFERROR((trades[[#This Row],[Current Price]]-trades[[#This Row],[Avg Price]])*SUMIF(trades[Symbol],trades[[#This Row],[Symbol]],trades[Qty]),"")</f>
        <v>35.999999999999979</v>
      </c>
      <c r="I9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6" spans="1:9" x14ac:dyDescent="0.25">
      <c r="A96" s="1">
        <v>45580.395729166667</v>
      </c>
      <c r="B96" s="53" t="s">
        <v>82</v>
      </c>
      <c r="C96">
        <v>30</v>
      </c>
      <c r="D96">
        <v>17</v>
      </c>
      <c r="E96">
        <v>-510</v>
      </c>
      <c r="F9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</v>
      </c>
      <c r="G96" s="2">
        <f>RTD("tos.rtd", , "LAST", trades[[#This Row],[Symbol]])</f>
        <v>6.28</v>
      </c>
      <c r="H96" s="2">
        <f>IFERROR((trades[[#This Row],[Current Price]]-trades[[#This Row],[Avg Price]])*SUMIF(trades[Symbol],trades[[#This Row],[Symbol]],trades[Qty]),"")</f>
        <v>-321.59999999999997</v>
      </c>
      <c r="I9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7" spans="1:9" x14ac:dyDescent="0.25">
      <c r="A97" s="1">
        <v>45845.596875000003</v>
      </c>
      <c r="B97" s="53" t="s">
        <v>83</v>
      </c>
      <c r="C97">
        <v>10</v>
      </c>
      <c r="D97">
        <v>35.5</v>
      </c>
      <c r="E97">
        <v>-355</v>
      </c>
      <c r="F9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35.5</v>
      </c>
      <c r="G97" s="2">
        <f>RTD("tos.rtd", , "LAST", trades[[#This Row],[Symbol]])</f>
        <v>79.3</v>
      </c>
      <c r="H97" s="2">
        <f>IFERROR((trades[[#This Row],[Current Price]]-trades[[#This Row],[Avg Price]])*SUMIF(trades[Symbol],trades[[#This Row],[Symbol]],trades[Qty]),"")</f>
        <v>438</v>
      </c>
      <c r="I9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8" spans="1:9" x14ac:dyDescent="0.25">
      <c r="A98" s="1">
        <v>45782.458761574075</v>
      </c>
      <c r="B98" s="53" t="s">
        <v>84</v>
      </c>
      <c r="C98">
        <v>10</v>
      </c>
      <c r="D98">
        <v>39.99</v>
      </c>
      <c r="E98">
        <v>-399.90000000000003</v>
      </c>
      <c r="F9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39.99</v>
      </c>
      <c r="G98" s="2">
        <f>RTD("tos.rtd", , "LAST", trades[[#This Row],[Symbol]])</f>
        <v>64.97</v>
      </c>
      <c r="H98" s="2">
        <f>IFERROR((trades[[#This Row],[Current Price]]-trades[[#This Row],[Avg Price]])*SUMIF(trades[Symbol],trades[[#This Row],[Symbol]],trades[Qty]),"")</f>
        <v>249.79999999999995</v>
      </c>
      <c r="I9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99" spans="1:9" x14ac:dyDescent="0.25">
      <c r="A99" s="1">
        <v>45937.395856481482</v>
      </c>
      <c r="B99" s="53" t="s">
        <v>85</v>
      </c>
      <c r="C99">
        <v>10</v>
      </c>
      <c r="D99">
        <v>41.42</v>
      </c>
      <c r="E99">
        <v>-414.20000000000005</v>
      </c>
      <c r="F9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99" s="2">
        <f>RTD("tos.rtd", , "LAST", trades[[#This Row],[Symbol]])</f>
        <v>53.46</v>
      </c>
      <c r="H99" s="2">
        <f>IFERROR((trades[[#This Row],[Current Price]]-trades[[#This Row],[Avg Price]])*SUMIF(trades[Symbol],trades[[#This Row],[Symbol]],trades[Qty]),"")</f>
        <v>299.90000000000009</v>
      </c>
      <c r="I9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0" spans="1:9" x14ac:dyDescent="0.25">
      <c r="A100" s="1">
        <v>45782.395844907405</v>
      </c>
      <c r="B100" s="53" t="s">
        <v>85</v>
      </c>
      <c r="C100">
        <v>10</v>
      </c>
      <c r="D100">
        <v>35.51</v>
      </c>
      <c r="E100">
        <v>-355.09999999999997</v>
      </c>
      <c r="F10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38.464999999999996</v>
      </c>
      <c r="G100" s="2">
        <f>RTD("tos.rtd", , "LAST", trades[[#This Row],[Symbol]])</f>
        <v>53.46</v>
      </c>
      <c r="H100" s="2">
        <f>IFERROR((trades[[#This Row],[Current Price]]-trades[[#This Row],[Avg Price]])*SUMIF(trades[Symbol],trades[[#This Row],[Symbol]],trades[Qty]),"")</f>
        <v>299.90000000000009</v>
      </c>
      <c r="I10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1" spans="1:9" x14ac:dyDescent="0.25">
      <c r="A101" s="1">
        <v>45902.395844907405</v>
      </c>
      <c r="B101" s="53" t="s">
        <v>86</v>
      </c>
      <c r="C101">
        <v>25</v>
      </c>
      <c r="D101">
        <v>21.1</v>
      </c>
      <c r="E101">
        <v>-527.5</v>
      </c>
      <c r="F10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1" s="2">
        <f>RTD("tos.rtd", , "LAST", trades[[#This Row],[Symbol]])</f>
        <v>18.809999999999999</v>
      </c>
      <c r="H101" s="2">
        <f>IFERROR((trades[[#This Row],[Current Price]]-trades[[#This Row],[Avg Price]])*SUMIF(trades[Symbol],trades[[#This Row],[Symbol]],trades[Qty]),"")</f>
        <v>254.5499999999997</v>
      </c>
      <c r="I10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2" spans="1:9" x14ac:dyDescent="0.25">
      <c r="A102" s="1">
        <v>45874.395833333336</v>
      </c>
      <c r="B102" s="53" t="s">
        <v>86</v>
      </c>
      <c r="C102">
        <v>30</v>
      </c>
      <c r="D102">
        <v>16.34</v>
      </c>
      <c r="E102">
        <v>-490.2</v>
      </c>
      <c r="F10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2" s="2">
        <f>RTD("tos.rtd", , "LAST", trades[[#This Row],[Symbol]])</f>
        <v>18.809999999999999</v>
      </c>
      <c r="H102" s="2">
        <f>IFERROR((trades[[#This Row],[Current Price]]-trades[[#This Row],[Avg Price]])*SUMIF(trades[Symbol],trades[[#This Row],[Symbol]],trades[Qty]),"")</f>
        <v>254.5499999999997</v>
      </c>
      <c r="I10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3" spans="1:9" x14ac:dyDescent="0.25">
      <c r="A103" s="1">
        <v>45840.395844907405</v>
      </c>
      <c r="B103" s="53" t="s">
        <v>86</v>
      </c>
      <c r="C103">
        <v>30</v>
      </c>
      <c r="D103">
        <v>17</v>
      </c>
      <c r="E103">
        <v>-510</v>
      </c>
      <c r="F10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3" s="2">
        <f>RTD("tos.rtd", , "LAST", trades[[#This Row],[Symbol]])</f>
        <v>18.809999999999999</v>
      </c>
      <c r="H103" s="2">
        <f>IFERROR((trades[[#This Row],[Current Price]]-trades[[#This Row],[Avg Price]])*SUMIF(trades[Symbol],trades[[#This Row],[Symbol]],trades[Qty]),"")</f>
        <v>254.5499999999997</v>
      </c>
      <c r="I10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4" spans="1:9" x14ac:dyDescent="0.25">
      <c r="A104" s="1">
        <v>45810.291759259257</v>
      </c>
      <c r="B104" s="53" t="s">
        <v>86</v>
      </c>
      <c r="C104">
        <v>30</v>
      </c>
      <c r="D104">
        <v>16.72</v>
      </c>
      <c r="E104">
        <v>-501.59999999999997</v>
      </c>
      <c r="F10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4" s="2">
        <f>RTD("tos.rtd", , "LAST", trades[[#This Row],[Symbol]])</f>
        <v>18.809999999999999</v>
      </c>
      <c r="H104" s="2">
        <f>IFERROR((trades[[#This Row],[Current Price]]-trades[[#This Row],[Avg Price]])*SUMIF(trades[Symbol],trades[[#This Row],[Symbol]],trades[Qty]),"")</f>
        <v>254.5499999999997</v>
      </c>
      <c r="I10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5" spans="1:9" x14ac:dyDescent="0.25">
      <c r="A105" s="1">
        <v>45751.296539351853</v>
      </c>
      <c r="B105" s="53" t="s">
        <v>86</v>
      </c>
      <c r="C105">
        <v>5</v>
      </c>
      <c r="D105">
        <v>16.98</v>
      </c>
      <c r="E105">
        <v>-84.9</v>
      </c>
      <c r="F10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5" s="2">
        <f>RTD("tos.rtd", , "LAST", trades[[#This Row],[Symbol]])</f>
        <v>18.809999999999999</v>
      </c>
      <c r="H105" s="2">
        <f>IFERROR((trades[[#This Row],[Current Price]]-trades[[#This Row],[Avg Price]])*SUMIF(trades[Symbol],trades[[#This Row],[Symbol]],trades[Qty]),"")</f>
        <v>254.5499999999997</v>
      </c>
      <c r="I10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6" spans="1:9" x14ac:dyDescent="0.25">
      <c r="A106" s="1">
        <v>45751.296539351853</v>
      </c>
      <c r="B106" s="53" t="s">
        <v>86</v>
      </c>
      <c r="C106">
        <v>25</v>
      </c>
      <c r="D106">
        <v>17</v>
      </c>
      <c r="E106">
        <v>-425</v>
      </c>
      <c r="F10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6" s="2">
        <f>RTD("tos.rtd", , "LAST", trades[[#This Row],[Symbol]])</f>
        <v>18.809999999999999</v>
      </c>
      <c r="H106" s="2">
        <f>IFERROR((trades[[#This Row],[Current Price]]-trades[[#This Row],[Avg Price]])*SUMIF(trades[Symbol],trades[[#This Row],[Symbol]],trades[Qty]),"")</f>
        <v>254.5499999999997</v>
      </c>
      <c r="I10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7" spans="1:9" x14ac:dyDescent="0.25">
      <c r="A107" s="1">
        <v>45807.521608796298</v>
      </c>
      <c r="B107" s="53" t="s">
        <v>86</v>
      </c>
      <c r="C107">
        <v>30</v>
      </c>
      <c r="D107">
        <v>16.600000000000001</v>
      </c>
      <c r="E107">
        <v>-498.00000000000006</v>
      </c>
      <c r="F10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17.355428571428572</v>
      </c>
      <c r="G107" s="2">
        <f>RTD("tos.rtd", , "LAST", trades[[#This Row],[Symbol]])</f>
        <v>18.809999999999999</v>
      </c>
      <c r="H107" s="2">
        <f>IFERROR((trades[[#This Row],[Current Price]]-trades[[#This Row],[Avg Price]])*SUMIF(trades[Symbol],trades[[#This Row],[Symbol]],trades[Qty]),"")</f>
        <v>254.5499999999997</v>
      </c>
      <c r="I10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8" spans="1:9" x14ac:dyDescent="0.25">
      <c r="A108" s="1">
        <v>45902.395856481482</v>
      </c>
      <c r="B108" s="53" t="s">
        <v>87</v>
      </c>
      <c r="C108">
        <v>5</v>
      </c>
      <c r="D108">
        <v>95.03</v>
      </c>
      <c r="E108">
        <v>-475.15</v>
      </c>
      <c r="F10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95.03</v>
      </c>
      <c r="G108" s="2">
        <f>RTD("tos.rtd", , "LAST", trades[[#This Row],[Symbol]])</f>
        <v>111.3</v>
      </c>
      <c r="H108" s="2">
        <f>IFERROR((trades[[#This Row],[Current Price]]-trades[[#This Row],[Avg Price]])*SUMIF(trades[Symbol],trades[[#This Row],[Symbol]],trades[Qty]),"")</f>
        <v>81.34999999999998</v>
      </c>
      <c r="I10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09" spans="1:9" x14ac:dyDescent="0.25">
      <c r="A109" s="1">
        <v>45902.395856481482</v>
      </c>
      <c r="B109" s="53" t="s">
        <v>88</v>
      </c>
      <c r="C109">
        <v>5</v>
      </c>
      <c r="D109">
        <v>66.14</v>
      </c>
      <c r="E109">
        <v>-330.7</v>
      </c>
      <c r="F10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09" s="2">
        <f>RTD("tos.rtd", , "LAST", trades[[#This Row],[Symbol]])</f>
        <v>63.57</v>
      </c>
      <c r="H109" s="2">
        <f>IFERROR((trades[[#This Row],[Current Price]]-trades[[#This Row],[Avg Price]])*SUMIF(trades[Symbol],trades[[#This Row],[Symbol]],trades[Qty]),"")</f>
        <v>-24.550000000000161</v>
      </c>
      <c r="I10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0" spans="1:9" x14ac:dyDescent="0.25">
      <c r="A110" s="1">
        <v>45840.418263888889</v>
      </c>
      <c r="B110" s="53" t="s">
        <v>88</v>
      </c>
      <c r="C110">
        <v>5</v>
      </c>
      <c r="D110">
        <v>64</v>
      </c>
      <c r="E110">
        <v>-320</v>
      </c>
      <c r="F11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0" s="2">
        <f>RTD("tos.rtd", , "LAST", trades[[#This Row],[Symbol]])</f>
        <v>63.57</v>
      </c>
      <c r="H110" s="2">
        <f>IFERROR((trades[[#This Row],[Current Price]]-trades[[#This Row],[Avg Price]])*SUMIF(trades[Symbol],trades[[#This Row],[Symbol]],trades[Qty]),"")</f>
        <v>-24.550000000000161</v>
      </c>
      <c r="I11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1" spans="1:9" x14ac:dyDescent="0.25">
      <c r="A111" s="1">
        <v>45937.398043981484</v>
      </c>
      <c r="B111" s="53" t="s">
        <v>88</v>
      </c>
      <c r="C111">
        <v>5</v>
      </c>
      <c r="D111">
        <v>65.48</v>
      </c>
      <c r="E111">
        <v>-327.40000000000003</v>
      </c>
      <c r="F11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65.206666666666678</v>
      </c>
      <c r="G111" s="2">
        <f>RTD("tos.rtd", , "LAST", trades[[#This Row],[Symbol]])</f>
        <v>63.57</v>
      </c>
      <c r="H111" s="2">
        <f>IFERROR((trades[[#This Row],[Current Price]]-trades[[#This Row],[Avg Price]])*SUMIF(trades[Symbol],trades[[#This Row],[Symbol]],trades[Qty]),"")</f>
        <v>-24.550000000000161</v>
      </c>
      <c r="I11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2" spans="1:9" x14ac:dyDescent="0.25">
      <c r="A112" s="1">
        <v>45874.395856481482</v>
      </c>
      <c r="B112" s="53" t="s">
        <v>89</v>
      </c>
      <c r="C112">
        <v>65</v>
      </c>
      <c r="D112">
        <v>6.85</v>
      </c>
      <c r="E112">
        <v>-445.25</v>
      </c>
      <c r="F11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2" s="2">
        <f>RTD("tos.rtd", , "LAST", trades[[#This Row],[Symbol]])</f>
        <v>5.78</v>
      </c>
      <c r="H112" s="2">
        <f>IFERROR((trades[[#This Row],[Current Price]]-trades[[#This Row],[Avg Price]])*SUMIF(trades[Symbol],trades[[#This Row],[Symbol]],trades[Qty]),"")</f>
        <v>-74.899999999999963</v>
      </c>
      <c r="I11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3" spans="1:9" x14ac:dyDescent="0.25">
      <c r="A113" s="1">
        <v>45874.395856481482</v>
      </c>
      <c r="B113" s="53" t="s">
        <v>89</v>
      </c>
      <c r="C113">
        <v>5</v>
      </c>
      <c r="D113">
        <v>6.85</v>
      </c>
      <c r="E113">
        <v>-34.25</v>
      </c>
      <c r="F11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6.85</v>
      </c>
      <c r="G113" s="2">
        <f>RTD("tos.rtd", , "LAST", trades[[#This Row],[Symbol]])</f>
        <v>5.78</v>
      </c>
      <c r="H113" s="2">
        <f>IFERROR((trades[[#This Row],[Current Price]]-trades[[#This Row],[Avg Price]])*SUMIF(trades[Symbol],trades[[#This Row],[Symbol]],trades[Qty]),"")</f>
        <v>-74.899999999999963</v>
      </c>
      <c r="I11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4" spans="1:9" x14ac:dyDescent="0.25">
      <c r="A114" s="1">
        <v>45751.515601851854</v>
      </c>
      <c r="B114" s="53" t="s">
        <v>90</v>
      </c>
      <c r="C114">
        <v>5</v>
      </c>
      <c r="D114">
        <v>58</v>
      </c>
      <c r="E114">
        <v>-290</v>
      </c>
      <c r="F11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58</v>
      </c>
      <c r="G114" s="2">
        <f>RTD("tos.rtd", , "LAST", trades[[#This Row],[Symbol]])</f>
        <v>74.42</v>
      </c>
      <c r="H114" s="2">
        <f>IFERROR((trades[[#This Row],[Current Price]]-trades[[#This Row],[Avg Price]])*SUMIF(trades[Symbol],trades[[#This Row],[Symbol]],trades[Qty]),"")</f>
        <v>82.100000000000009</v>
      </c>
      <c r="I11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5" spans="1:9" x14ac:dyDescent="0.25">
      <c r="A115" s="1">
        <v>45782.396736111114</v>
      </c>
      <c r="B115" s="53" t="s">
        <v>91</v>
      </c>
      <c r="C115">
        <v>5</v>
      </c>
      <c r="D115">
        <v>59</v>
      </c>
      <c r="E115">
        <v>-295</v>
      </c>
      <c r="F11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59</v>
      </c>
      <c r="G115" s="2">
        <f>RTD("tos.rtd", , "LAST", trades[[#This Row],[Symbol]])</f>
        <v>69</v>
      </c>
      <c r="H115" s="2">
        <f>IFERROR((trades[[#This Row],[Current Price]]-trades[[#This Row],[Avg Price]])*SUMIF(trades[Symbol],trades[[#This Row],[Symbol]],trades[Qty]),"")</f>
        <v>50</v>
      </c>
      <c r="I11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6" spans="1:9" x14ac:dyDescent="0.25">
      <c r="A116" s="1">
        <v>45902.395902777775</v>
      </c>
      <c r="B116" s="53" t="s">
        <v>92</v>
      </c>
      <c r="C116">
        <v>15</v>
      </c>
      <c r="D116">
        <v>33.520000000000003</v>
      </c>
      <c r="E116">
        <v>-502.80000000000007</v>
      </c>
      <c r="F116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6" s="2">
        <f>RTD("tos.rtd", , "LAST", trades[[#This Row],[Symbol]])</f>
        <v>28.05</v>
      </c>
      <c r="H116" s="2" t="str">
        <f>IFERROR((trades[[#This Row],[Current Price]]-trades[[#This Row],[Avg Price]])*SUMIF(trades[Symbol],trades[[#This Row],[Symbol]],trades[Qty]),"")</f>
        <v/>
      </c>
      <c r="I11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7" spans="1:9" x14ac:dyDescent="0.25">
      <c r="A117" s="1">
        <v>45937.395844907405</v>
      </c>
      <c r="B117" s="53" t="s">
        <v>92</v>
      </c>
      <c r="C117">
        <v>15</v>
      </c>
      <c r="D117">
        <v>32.25</v>
      </c>
      <c r="E117">
        <v>-483.75</v>
      </c>
      <c r="F117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7" s="2">
        <f>RTD("tos.rtd", , "LAST", trades[[#This Row],[Symbol]])</f>
        <v>28.05</v>
      </c>
      <c r="H117" s="2" t="str">
        <f>IFERROR((trades[[#This Row],[Current Price]]-trades[[#This Row],[Avg Price]])*SUMIF(trades[Symbol],trades[[#This Row],[Symbol]],trades[Qty]),"")</f>
        <v/>
      </c>
      <c r="I11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18" spans="1:9" x14ac:dyDescent="0.25">
      <c r="A118" s="1">
        <v>46056.666666666664</v>
      </c>
      <c r="B118" s="53" t="s">
        <v>92</v>
      </c>
      <c r="C118">
        <v>-30</v>
      </c>
      <c r="D118">
        <v>28.05</v>
      </c>
      <c r="E118">
        <v>841.5</v>
      </c>
      <c r="F118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18" s="2">
        <f>RTD("tos.rtd", , "LAST", trades[[#This Row],[Symbol]])</f>
        <v>28.05</v>
      </c>
      <c r="H118" s="2" t="str">
        <f>IFERROR((trades[[#This Row],[Current Price]]-trades[[#This Row],[Avg Price]])*SUMIF(trades[Symbol],trades[[#This Row],[Symbol]],trades[Qty]),"")</f>
        <v/>
      </c>
      <c r="I118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>-145.05000000000007</v>
      </c>
    </row>
    <row r="119" spans="1:9" x14ac:dyDescent="0.25">
      <c r="A119" s="1">
        <v>45874.395844907405</v>
      </c>
      <c r="B119" s="53" t="s">
        <v>93</v>
      </c>
      <c r="C119">
        <v>30</v>
      </c>
      <c r="D119">
        <v>15.49</v>
      </c>
      <c r="E119">
        <v>-464.7</v>
      </c>
      <c r="F11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19" s="2">
        <f>RTD("tos.rtd", , "LAST", trades[[#This Row],[Symbol]])</f>
        <v>17.170000000000002</v>
      </c>
      <c r="H119" s="2">
        <f>IFERROR((trades[[#This Row],[Current Price]]-trades[[#This Row],[Avg Price]])*SUMIF(trades[Symbol],trades[[#This Row],[Symbol]],trades[Qty]),"")</f>
        <v>228.45000000000005</v>
      </c>
      <c r="I11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0" spans="1:9" x14ac:dyDescent="0.25">
      <c r="A120" s="1">
        <v>45840.395891203705</v>
      </c>
      <c r="B120" s="53" t="s">
        <v>93</v>
      </c>
      <c r="C120">
        <v>30</v>
      </c>
      <c r="D120">
        <v>15.05</v>
      </c>
      <c r="E120">
        <v>-451.5</v>
      </c>
      <c r="F12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0" s="2">
        <f>RTD("tos.rtd", , "LAST", trades[[#This Row],[Symbol]])</f>
        <v>17.170000000000002</v>
      </c>
      <c r="H120" s="2">
        <f>IFERROR((trades[[#This Row],[Current Price]]-trades[[#This Row],[Avg Price]])*SUMIF(trades[Symbol],trades[[#This Row],[Symbol]],trades[Qty]),"")</f>
        <v>228.45000000000005</v>
      </c>
      <c r="I12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1" spans="1:9" x14ac:dyDescent="0.25">
      <c r="A121" s="1">
        <v>45810.291666666664</v>
      </c>
      <c r="B121" s="53" t="s">
        <v>93</v>
      </c>
      <c r="C121">
        <v>35</v>
      </c>
      <c r="D121">
        <v>13.9</v>
      </c>
      <c r="E121">
        <v>-486.5</v>
      </c>
      <c r="F12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14.765263157894738</v>
      </c>
      <c r="G121" s="2">
        <f>RTD("tos.rtd", , "LAST", trades[[#This Row],[Symbol]])</f>
        <v>17.170000000000002</v>
      </c>
      <c r="H121" s="2">
        <f>IFERROR((trades[[#This Row],[Current Price]]-trades[[#This Row],[Avg Price]])*SUMIF(trades[Symbol],trades[[#This Row],[Symbol]],trades[Qty]),"")</f>
        <v>228.45000000000005</v>
      </c>
      <c r="I12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2" spans="1:9" x14ac:dyDescent="0.25">
      <c r="A122" s="1">
        <v>45902.395868055559</v>
      </c>
      <c r="B122" s="53" t="s">
        <v>94</v>
      </c>
      <c r="C122">
        <v>175</v>
      </c>
      <c r="D122">
        <v>2.75</v>
      </c>
      <c r="E122">
        <v>-481.25</v>
      </c>
      <c r="F122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2" s="2">
        <f>RTD("tos.rtd", , "LAST", trades[[#This Row],[Symbol]])</f>
        <v>2.56</v>
      </c>
      <c r="H122" s="2">
        <f>IFERROR((trades[[#This Row],[Current Price]]-trades[[#This Row],[Avg Price]])*SUMIF(trades[Symbol],trades[[#This Row],[Symbol]],trades[Qty]),"")</f>
        <v>-120.12000000000006</v>
      </c>
      <c r="I122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3" spans="1:9" x14ac:dyDescent="0.25">
      <c r="A123" s="1">
        <v>45874.395844907405</v>
      </c>
      <c r="B123" s="53" t="s">
        <v>94</v>
      </c>
      <c r="C123">
        <v>185</v>
      </c>
      <c r="D123">
        <v>2.7</v>
      </c>
      <c r="E123">
        <v>-499.50000000000006</v>
      </c>
      <c r="F12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3" s="2">
        <f>RTD("tos.rtd", , "LAST", trades[[#This Row],[Symbol]])</f>
        <v>2.56</v>
      </c>
      <c r="H123" s="2">
        <f>IFERROR((trades[[#This Row],[Current Price]]-trades[[#This Row],[Avg Price]])*SUMIF(trades[Symbol],trades[[#This Row],[Symbol]],trades[Qty]),"")</f>
        <v>-120.12000000000006</v>
      </c>
      <c r="I12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4" spans="1:9" x14ac:dyDescent="0.25">
      <c r="A124" s="1">
        <v>45806.422905092593</v>
      </c>
      <c r="B124" s="53" t="s">
        <v>94</v>
      </c>
      <c r="C124">
        <v>175</v>
      </c>
      <c r="D124">
        <v>2.9083999999999999</v>
      </c>
      <c r="E124">
        <v>-508.96999999999997</v>
      </c>
      <c r="F12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2.7845233644859815</v>
      </c>
      <c r="G124" s="2">
        <f>RTD("tos.rtd", , "LAST", trades[[#This Row],[Symbol]])</f>
        <v>2.56</v>
      </c>
      <c r="H124" s="2">
        <f>IFERROR((trades[[#This Row],[Current Price]]-trades[[#This Row],[Avg Price]])*SUMIF(trades[Symbol],trades[[#This Row],[Symbol]],trades[Qty]),"")</f>
        <v>-120.12000000000006</v>
      </c>
      <c r="I12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5" spans="1:9" x14ac:dyDescent="0.25">
      <c r="A125" s="1">
        <v>45902.395856481482</v>
      </c>
      <c r="B125" s="53" t="s">
        <v>95</v>
      </c>
      <c r="C125">
        <v>30</v>
      </c>
      <c r="D125">
        <v>15</v>
      </c>
      <c r="E125">
        <v>-450</v>
      </c>
      <c r="F12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5" s="2">
        <f>RTD("tos.rtd", , "LAST", trades[[#This Row],[Symbol]])</f>
        <v>5.15</v>
      </c>
      <c r="H125" s="2">
        <f>IFERROR((trades[[#This Row],[Current Price]]-trades[[#This Row],[Avg Price]])*SUMIF(trades[Symbol],trades[[#This Row],[Symbol]],trades[Qty]),"")</f>
        <v>-729.74999999999989</v>
      </c>
      <c r="I12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6" spans="1:9" x14ac:dyDescent="0.25">
      <c r="A126" s="1">
        <v>45574.311527777776</v>
      </c>
      <c r="B126" s="53" t="s">
        <v>95</v>
      </c>
      <c r="C126">
        <v>20</v>
      </c>
      <c r="D126">
        <v>7.21</v>
      </c>
      <c r="E126">
        <v>-144.19999999999999</v>
      </c>
      <c r="F12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6" s="2">
        <f>RTD("tos.rtd", , "LAST", trades[[#This Row],[Symbol]])</f>
        <v>5.15</v>
      </c>
      <c r="H126" s="2">
        <f>IFERROR((trades[[#This Row],[Current Price]]-trades[[#This Row],[Avg Price]])*SUMIF(trades[Symbol],trades[[#This Row],[Symbol]],trades[Qty]),"")</f>
        <v>-729.74999999999989</v>
      </c>
      <c r="I12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7" spans="1:9" x14ac:dyDescent="0.25">
      <c r="A127" s="1">
        <v>45874.395844907405</v>
      </c>
      <c r="B127" s="53" t="s">
        <v>95</v>
      </c>
      <c r="C127">
        <v>35</v>
      </c>
      <c r="D127">
        <v>13.74</v>
      </c>
      <c r="E127">
        <v>-480.90000000000003</v>
      </c>
      <c r="F12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7" s="2">
        <f>RTD("tos.rtd", , "LAST", trades[[#This Row],[Symbol]])</f>
        <v>5.15</v>
      </c>
      <c r="H127" s="2">
        <f>IFERROR((trades[[#This Row],[Current Price]]-trades[[#This Row],[Avg Price]])*SUMIF(trades[Symbol],trades[[#This Row],[Symbol]],trades[Qty]),"")</f>
        <v>-729.74999999999989</v>
      </c>
      <c r="I12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8" spans="1:9" x14ac:dyDescent="0.25">
      <c r="A128" s="1">
        <v>45574.356805555559</v>
      </c>
      <c r="B128" s="53" t="s">
        <v>95</v>
      </c>
      <c r="C128">
        <v>5</v>
      </c>
      <c r="D128">
        <v>7.15</v>
      </c>
      <c r="E128">
        <v>-35.75</v>
      </c>
      <c r="F128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8" s="2">
        <f>RTD("tos.rtd", , "LAST", trades[[#This Row],[Symbol]])</f>
        <v>5.15</v>
      </c>
      <c r="H128" s="2">
        <f>IFERROR((trades[[#This Row],[Current Price]]-trades[[#This Row],[Avg Price]])*SUMIF(trades[Symbol],trades[[#This Row],[Symbol]],trades[Qty]),"")</f>
        <v>-729.74999999999989</v>
      </c>
      <c r="I128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29" spans="1:9" x14ac:dyDescent="0.25">
      <c r="A129" s="1">
        <v>45574.393252314818</v>
      </c>
      <c r="B129" s="53" t="s">
        <v>95</v>
      </c>
      <c r="C129">
        <v>40</v>
      </c>
      <c r="D129">
        <v>7.21</v>
      </c>
      <c r="E129">
        <v>-288.39999999999998</v>
      </c>
      <c r="F129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10.763461538461538</v>
      </c>
      <c r="G129" s="2">
        <f>RTD("tos.rtd", , "LAST", trades[[#This Row],[Symbol]])</f>
        <v>5.15</v>
      </c>
      <c r="H129" s="2">
        <f>IFERROR((trades[[#This Row],[Current Price]]-trades[[#This Row],[Avg Price]])*SUMIF(trades[Symbol],trades[[#This Row],[Symbol]],trades[Qty]),"")</f>
        <v>-729.74999999999989</v>
      </c>
      <c r="I129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0" spans="1:9" x14ac:dyDescent="0.25">
      <c r="A130" s="1">
        <v>45663.659062500003</v>
      </c>
      <c r="B130" s="53" t="s">
        <v>96</v>
      </c>
      <c r="C130">
        <v>100</v>
      </c>
      <c r="D130">
        <v>4</v>
      </c>
      <c r="E130">
        <v>-400</v>
      </c>
      <c r="F130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</v>
      </c>
      <c r="G130" s="2">
        <f>RTD("tos.rtd", , "LAST", trades[[#This Row],[Symbol]])</f>
        <v>6.87</v>
      </c>
      <c r="H130" s="2">
        <f>IFERROR((trades[[#This Row],[Current Price]]-trades[[#This Row],[Avg Price]])*SUMIF(trades[Symbol],trades[[#This Row],[Symbol]],trades[Qty]),"")</f>
        <v>287</v>
      </c>
      <c r="I130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1" spans="1:9" x14ac:dyDescent="0.25">
      <c r="A131" s="1">
        <v>45574.291666666664</v>
      </c>
      <c r="B131" s="53" t="s">
        <v>97</v>
      </c>
      <c r="C131">
        <v>75</v>
      </c>
      <c r="D131">
        <v>6.3</v>
      </c>
      <c r="E131">
        <v>-472.5</v>
      </c>
      <c r="F131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6.3</v>
      </c>
      <c r="G131" s="2">
        <f>RTD("tos.rtd", , "LAST", trades[[#This Row],[Symbol]])</f>
        <v>3.83</v>
      </c>
      <c r="H131" s="2">
        <f>IFERROR((trades[[#This Row],[Current Price]]-trades[[#This Row],[Avg Price]])*SUMIF(trades[Symbol],trades[[#This Row],[Symbol]],trades[Qty]),"")</f>
        <v>-49.399999999999991</v>
      </c>
      <c r="I131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2" spans="1:9" x14ac:dyDescent="0.25">
      <c r="A132" s="1">
        <v>45847.490763888891</v>
      </c>
      <c r="B132" s="53" t="s">
        <v>97</v>
      </c>
      <c r="C132">
        <v>-55</v>
      </c>
      <c r="D132">
        <v>6</v>
      </c>
      <c r="E132">
        <v>330</v>
      </c>
      <c r="F132" s="2" t="str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/>
      </c>
      <c r="G132" s="2">
        <f>RTD("tos.rtd", , "LAST", trades[[#This Row],[Symbol]])</f>
        <v>3.83</v>
      </c>
      <c r="H132" s="2" t="str">
        <f>IFERROR((trades[[#This Row],[Current Price]]-trades[[#This Row],[Avg Price]])*SUMIF(trades[Symbol],trades[[#This Row],[Symbol]],trades[Qty]),"")</f>
        <v/>
      </c>
      <c r="I132" s="2">
        <f ca="1"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>-142.5</v>
      </c>
    </row>
    <row r="133" spans="1:9" x14ac:dyDescent="0.25">
      <c r="A133" s="1">
        <v>45937.395856481482</v>
      </c>
      <c r="B133" s="53" t="s">
        <v>98</v>
      </c>
      <c r="C133">
        <v>10</v>
      </c>
      <c r="D133">
        <v>43.19</v>
      </c>
      <c r="E133">
        <v>-431.9</v>
      </c>
      <c r="F133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3" s="2">
        <f>RTD("tos.rtd", , "LAST", trades[[#This Row],[Symbol]])</f>
        <v>50.74</v>
      </c>
      <c r="H133" s="2">
        <f>IFERROR((trades[[#This Row],[Current Price]]-trades[[#This Row],[Avg Price]])*SUMIF(trades[Symbol],trades[[#This Row],[Symbol]],trades[Qty]),"")</f>
        <v>142.69999999999996</v>
      </c>
      <c r="I133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4" spans="1:9" x14ac:dyDescent="0.25">
      <c r="A134" s="1">
        <v>45902.395844907405</v>
      </c>
      <c r="B134" s="53" t="s">
        <v>98</v>
      </c>
      <c r="C134">
        <v>10</v>
      </c>
      <c r="D134">
        <v>44.02</v>
      </c>
      <c r="E134">
        <v>-440.20000000000005</v>
      </c>
      <c r="F134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43.605000000000004</v>
      </c>
      <c r="G134" s="2">
        <f>RTD("tos.rtd", , "LAST", trades[[#This Row],[Symbol]])</f>
        <v>50.74</v>
      </c>
      <c r="H134" s="2">
        <f>IFERROR((trades[[#This Row],[Current Price]]-trades[[#This Row],[Avg Price]])*SUMIF(trades[Symbol],trades[[#This Row],[Symbol]],trades[Qty]),"")</f>
        <v>142.69999999999996</v>
      </c>
      <c r="I134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5" spans="1:9" x14ac:dyDescent="0.25">
      <c r="A135" s="1">
        <v>45840.395833333336</v>
      </c>
      <c r="B135" s="53" t="s">
        <v>99</v>
      </c>
      <c r="C135">
        <v>5</v>
      </c>
      <c r="D135">
        <v>77.099999999999994</v>
      </c>
      <c r="E135">
        <v>-385.5</v>
      </c>
      <c r="F135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5" s="2">
        <f>RTD("tos.rtd", , "LAST", trades[[#This Row],[Symbol]])</f>
        <v>88.73</v>
      </c>
      <c r="H135" s="2">
        <f>IFERROR((trades[[#This Row],[Current Price]]-trades[[#This Row],[Avg Price]])*SUMIF(trades[Symbol],trades[[#This Row],[Symbol]],trades[Qty]),"")</f>
        <v>140.35000000000025</v>
      </c>
      <c r="I135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6" spans="1:9" x14ac:dyDescent="0.25">
      <c r="A136" s="1">
        <v>45902.395856481482</v>
      </c>
      <c r="B136" s="53" t="s">
        <v>99</v>
      </c>
      <c r="C136">
        <v>5</v>
      </c>
      <c r="D136">
        <v>80.03</v>
      </c>
      <c r="E136">
        <v>-400.15</v>
      </c>
      <c r="F136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6" s="2">
        <f>RTD("tos.rtd", , "LAST", trades[[#This Row],[Symbol]])</f>
        <v>88.73</v>
      </c>
      <c r="H136" s="2">
        <f>IFERROR((trades[[#This Row],[Current Price]]-trades[[#This Row],[Avg Price]])*SUMIF(trades[Symbol],trades[[#This Row],[Symbol]],trades[Qty]),"")</f>
        <v>140.35000000000025</v>
      </c>
      <c r="I136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  <row r="137" spans="1:9" x14ac:dyDescent="0.25">
      <c r="A137" s="1">
        <v>45810.291666666664</v>
      </c>
      <c r="B137" s="53" t="s">
        <v>99</v>
      </c>
      <c r="C137">
        <v>5</v>
      </c>
      <c r="D137">
        <v>80.989999999999995</v>
      </c>
      <c r="E137">
        <v>-404.95</v>
      </c>
      <c r="F137" s="2">
        <f>IF(SUMIF(trades[Symbol],trades[[#This Row],[Symbol]],trades[Qty])&lt;&gt;0, (IF(trades[[#This Row],[Qty]]&gt;0,-SUMIFS(trades[Capital or Gain],trades[Symbol],trades[[#This Row],[Symbol]],trades[Qty],"&gt;0")/SUMIFS(trades[Qty],trades[Symbol],trades[[#This Row],[Symbol]],trades[Qty],"&gt;0"),"")), "")</f>
        <v>79.373333333333321</v>
      </c>
      <c r="G137" s="2">
        <f>RTD("tos.rtd", , "LAST", trades[[#This Row],[Symbol]])</f>
        <v>88.73</v>
      </c>
      <c r="H137" s="2">
        <f>IFERROR((trades[[#This Row],[Current Price]]-trades[[#This Row],[Avg Price]])*SUMIF(trades[Symbol],trades[[#This Row],[Symbol]],trades[Qty]),"")</f>
        <v>140.35000000000025</v>
      </c>
      <c r="I137" s="2" t="str">
        <f>IF(AND(trades[[#This Row],[Open P&amp;L]] = "", trades[[#This Row],[Exec Time]] = _xlfn.MAXIFS(trades[Exec Time], trades[Symbol], trades[[#This Row],[Symbol]])), IF(SUMIF(trades[Symbol],trades[[#This Row],[Symbol]],trades[[#This Row],[Qty]])=0, SUMIF(trades[Symbol],trades[[#This Row],[Symbol]],trades[Capital or Gain]),trades[[#This Row],[Qty]]*(-SUMIFS(trades[Open P&amp;L],trades[Symbol],trades[[#This Row],[Symbol]],trades[Qty],"&gt;0")/SUMIFS(trades[Qty],trades[Symbol],trades[[#This Row],[Symbol]],trades[Qty],"&gt;0") - trades[[#This Row],[Price]])), "")</f>
        <v/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7E810-0FC5-4206-89A5-068B07FEFCC9}">
  <sheetPr codeName="Sheet5"/>
  <dimension ref="A1:R70"/>
  <sheetViews>
    <sheetView tabSelected="1" zoomScale="120" zoomScaleNormal="120" workbookViewId="0">
      <pane ySplit="4" topLeftCell="A5" activePane="bottomLeft" state="frozen"/>
      <selection pane="bottomLeft" activeCell="H20" sqref="H20"/>
    </sheetView>
  </sheetViews>
  <sheetFormatPr defaultRowHeight="15" x14ac:dyDescent="0.25"/>
  <cols>
    <col min="1" max="1" width="10" bestFit="1" customWidth="1"/>
    <col min="2" max="2" width="13.85546875" bestFit="1" customWidth="1"/>
    <col min="3" max="3" width="15.42578125" bestFit="1" customWidth="1"/>
    <col min="4" max="4" width="16" bestFit="1" customWidth="1"/>
    <col min="5" max="5" width="12" bestFit="1" customWidth="1"/>
    <col min="6" max="6" width="11.42578125" bestFit="1" customWidth="1"/>
    <col min="7" max="7" width="14.85546875" bestFit="1" customWidth="1"/>
    <col min="8" max="9" width="12.140625" bestFit="1" customWidth="1"/>
    <col min="10" max="11" width="14.28515625" bestFit="1" customWidth="1"/>
    <col min="12" max="12" width="11" bestFit="1" customWidth="1"/>
    <col min="13" max="13" width="15.5703125" bestFit="1" customWidth="1"/>
    <col min="14" max="15" width="11" bestFit="1" customWidth="1"/>
    <col min="16" max="16" width="12.7109375" customWidth="1"/>
    <col min="17" max="17" width="12.5703125" customWidth="1"/>
    <col min="18" max="18" width="7" customWidth="1"/>
    <col min="19" max="19" width="13.42578125" customWidth="1"/>
    <col min="20" max="20" width="5.42578125" customWidth="1"/>
    <col min="21" max="21" width="24.7109375" customWidth="1"/>
    <col min="22" max="22" width="15.85546875" customWidth="1"/>
    <col min="23" max="23" width="15.42578125" customWidth="1"/>
    <col min="24" max="25" width="6.42578125" bestFit="1" customWidth="1"/>
    <col min="26" max="26" width="6.140625" customWidth="1"/>
    <col min="27" max="27" width="6.42578125" bestFit="1" customWidth="1"/>
    <col min="28" max="28" width="3.28515625" bestFit="1" customWidth="1"/>
    <col min="29" max="29" width="6.42578125" bestFit="1" customWidth="1"/>
    <col min="30" max="30" width="5.42578125" bestFit="1" customWidth="1"/>
    <col min="31" max="31" width="3.28515625" bestFit="1" customWidth="1"/>
    <col min="32" max="34" width="6.42578125" bestFit="1" customWidth="1"/>
    <col min="35" max="35" width="3.28515625" bestFit="1" customWidth="1"/>
    <col min="36" max="36" width="6.42578125" bestFit="1" customWidth="1"/>
    <col min="37" max="38" width="3.28515625" bestFit="1" customWidth="1"/>
    <col min="39" max="40" width="5.42578125" bestFit="1" customWidth="1"/>
    <col min="41" max="41" width="3.28515625" bestFit="1" customWidth="1"/>
    <col min="42" max="43" width="6.42578125" bestFit="1" customWidth="1"/>
    <col min="44" max="44" width="4.28515625" bestFit="1" customWidth="1"/>
    <col min="45" max="45" width="6.42578125" bestFit="1" customWidth="1"/>
    <col min="46" max="46" width="5.42578125" bestFit="1" customWidth="1"/>
    <col min="47" max="48" width="6.42578125" bestFit="1" customWidth="1"/>
    <col min="49" max="49" width="5.42578125" bestFit="1" customWidth="1"/>
    <col min="50" max="50" width="6.42578125" bestFit="1" customWidth="1"/>
    <col min="51" max="51" width="5.42578125" bestFit="1" customWidth="1"/>
    <col min="52" max="52" width="4.28515625" bestFit="1" customWidth="1"/>
    <col min="53" max="53" width="6.42578125" bestFit="1" customWidth="1"/>
    <col min="54" max="54" width="5.42578125" bestFit="1" customWidth="1"/>
    <col min="55" max="55" width="6.42578125" bestFit="1" customWidth="1"/>
    <col min="56" max="56" width="3.28515625" bestFit="1" customWidth="1"/>
    <col min="57" max="58" width="6.42578125" bestFit="1" customWidth="1"/>
    <col min="59" max="59" width="5.42578125" bestFit="1" customWidth="1"/>
    <col min="60" max="60" width="6.42578125" bestFit="1" customWidth="1"/>
    <col min="61" max="61" width="3.28515625" bestFit="1" customWidth="1"/>
    <col min="62" max="64" width="6.42578125" bestFit="1" customWidth="1"/>
    <col min="65" max="65" width="4.28515625" bestFit="1" customWidth="1"/>
    <col min="66" max="66" width="6.42578125" bestFit="1" customWidth="1"/>
    <col min="67" max="67" width="5.42578125" bestFit="1" customWidth="1"/>
    <col min="68" max="70" width="6.42578125" bestFit="1" customWidth="1"/>
    <col min="71" max="71" width="4.28515625" bestFit="1" customWidth="1"/>
    <col min="72" max="74" width="6.42578125" bestFit="1" customWidth="1"/>
    <col min="75" max="76" width="5.42578125" bestFit="1" customWidth="1"/>
    <col min="77" max="77" width="4.28515625" bestFit="1" customWidth="1"/>
    <col min="78" max="78" width="6.42578125" bestFit="1" customWidth="1"/>
    <col min="79" max="79" width="4.28515625" bestFit="1" customWidth="1"/>
    <col min="80" max="84" width="6.42578125" bestFit="1" customWidth="1"/>
    <col min="85" max="85" width="5.42578125" bestFit="1" customWidth="1"/>
    <col min="86" max="86" width="6.42578125" bestFit="1" customWidth="1"/>
    <col min="87" max="87" width="7.5703125" bestFit="1" customWidth="1"/>
    <col min="88" max="89" width="5.42578125" bestFit="1" customWidth="1"/>
    <col min="90" max="93" width="6.42578125" bestFit="1" customWidth="1"/>
    <col min="94" max="95" width="3.28515625" bestFit="1" customWidth="1"/>
    <col min="96" max="96" width="6.42578125" bestFit="1" customWidth="1"/>
    <col min="97" max="97" width="7.5703125" bestFit="1" customWidth="1"/>
    <col min="98" max="99" width="6.42578125" bestFit="1" customWidth="1"/>
    <col min="100" max="101" width="5.42578125" bestFit="1" customWidth="1"/>
    <col min="102" max="102" width="7.5703125" bestFit="1" customWidth="1"/>
    <col min="103" max="103" width="4.28515625" bestFit="1" customWidth="1"/>
    <col min="104" max="104" width="7.5703125" bestFit="1" customWidth="1"/>
    <col min="105" max="105" width="9.7109375" bestFit="1" customWidth="1"/>
    <col min="106" max="106" width="7.5703125" bestFit="1" customWidth="1"/>
    <col min="107" max="107" width="6.42578125" bestFit="1" customWidth="1"/>
    <col min="108" max="109" width="7.5703125" bestFit="1" customWidth="1"/>
    <col min="110" max="110" width="8.5703125" bestFit="1" customWidth="1"/>
    <col min="111" max="111" width="4.28515625" bestFit="1" customWidth="1"/>
    <col min="112" max="113" width="7.5703125" bestFit="1" customWidth="1"/>
    <col min="114" max="114" width="6.42578125" bestFit="1" customWidth="1"/>
    <col min="115" max="115" width="4.28515625" bestFit="1" customWidth="1"/>
    <col min="116" max="117" width="6.42578125" bestFit="1" customWidth="1"/>
    <col min="118" max="118" width="7.5703125" bestFit="1" customWidth="1"/>
    <col min="119" max="119" width="4.28515625" bestFit="1" customWidth="1"/>
    <col min="120" max="121" width="7.5703125" bestFit="1" customWidth="1"/>
    <col min="122" max="123" width="6.42578125" bestFit="1" customWidth="1"/>
    <col min="124" max="125" width="7.5703125" bestFit="1" customWidth="1"/>
    <col min="126" max="126" width="11.85546875" bestFit="1" customWidth="1"/>
  </cols>
  <sheetData>
    <row r="1" spans="1:14" ht="15.75" thickBot="1" x14ac:dyDescent="0.3">
      <c r="A1" s="45" t="str">
        <f>"Total stock count: " &amp; COUNTA(stocks[Symbol])</f>
        <v>Total stock count: 66</v>
      </c>
      <c r="B1" s="46"/>
      <c r="D1" s="18" t="s">
        <v>8</v>
      </c>
      <c r="E1" s="24">
        <f>SUM(stocks[Open P&amp;L])</f>
        <v>7997.3937500000011</v>
      </c>
      <c r="F1" s="21"/>
      <c r="G1" s="16" t="s">
        <v>17</v>
      </c>
      <c r="H1" s="24">
        <f>SUM(stocks[Realized P&amp;L])</f>
        <v>1432.07</v>
      </c>
      <c r="J1" s="16" t="s">
        <v>105</v>
      </c>
      <c r="K1" s="17">
        <f>ROUND(-SUMIF(trades[Capital or Gain], "&lt;0"),2)</f>
        <v>60240.91</v>
      </c>
      <c r="M1" s="16" t="s">
        <v>30</v>
      </c>
      <c r="N1" s="17">
        <f>SUMPRODUCT(stocks[Current Qty], stocks[Current Price])</f>
        <v>62124.493749999987</v>
      </c>
    </row>
    <row r="2" spans="1:14" ht="15.75" thickBot="1" x14ac:dyDescent="0.3">
      <c r="A2" s="45" t="str">
        <f>"Active stock count: " &amp; COUNTIF(stocks[Current Qty], "&lt;&gt;0")</f>
        <v>Active stock count: 63</v>
      </c>
      <c r="B2" s="46"/>
      <c r="D2" s="16" t="s">
        <v>13</v>
      </c>
      <c r="E2" s="23">
        <f>$E$1/$N$1</f>
        <v>0.12873173312579311</v>
      </c>
      <c r="F2" s="22"/>
      <c r="G2" s="16" t="s">
        <v>14</v>
      </c>
      <c r="H2" s="23">
        <f>$H$1/$N$1</f>
        <v>2.3051616416592532E-2</v>
      </c>
      <c r="J2" s="16" t="s">
        <v>104</v>
      </c>
      <c r="K2" s="17">
        <f>-SUM(stocks[Capital or P&amp;L])</f>
        <v>53069.80000000001</v>
      </c>
    </row>
    <row r="4" spans="1:14" s="7" customFormat="1" x14ac:dyDescent="0.25">
      <c r="A4" t="s">
        <v>2</v>
      </c>
      <c r="B4" t="s">
        <v>31</v>
      </c>
      <c r="C4" t="s">
        <v>7</v>
      </c>
      <c r="D4" t="s">
        <v>108</v>
      </c>
      <c r="E4" t="s">
        <v>8</v>
      </c>
      <c r="F4" t="s">
        <v>5</v>
      </c>
      <c r="G4" t="s">
        <v>17</v>
      </c>
    </row>
    <row r="5" spans="1:14" x14ac:dyDescent="0.25">
      <c r="A5" t="s">
        <v>35</v>
      </c>
      <c r="B5">
        <v>830</v>
      </c>
      <c r="C5">
        <f>RTD("tos.rtd", , "LAST", stocks[[#This Row],[Symbol]])</f>
        <v>2.9</v>
      </c>
      <c r="D5">
        <v>-1991.14</v>
      </c>
      <c r="E5" s="29">
        <f>IFERROR((stocks[[#This Row],[Current Price]]-stocks[[#This Row],[Avg Price]])*stocks[[#This Row],[Current Qty]],"")</f>
        <v>415</v>
      </c>
      <c r="F5">
        <v>2.4</v>
      </c>
      <c r="G5" s="14"/>
    </row>
    <row r="6" spans="1:14" x14ac:dyDescent="0.25">
      <c r="A6" t="s">
        <v>36</v>
      </c>
      <c r="B6">
        <v>5</v>
      </c>
      <c r="C6">
        <f>RTD("tos.rtd", , "LAST", stocks[[#This Row],[Symbol]])</f>
        <v>84.37</v>
      </c>
      <c r="D6">
        <v>-400</v>
      </c>
      <c r="E6" s="25">
        <f>IFERROR((stocks[[#This Row],[Current Price]]-stocks[[#This Row],[Avg Price]])*stocks[[#This Row],[Current Qty]],"")</f>
        <v>21.850000000000023</v>
      </c>
      <c r="F6">
        <v>80</v>
      </c>
      <c r="G6" s="14"/>
    </row>
    <row r="7" spans="1:14" x14ac:dyDescent="0.25">
      <c r="A7" t="s">
        <v>37</v>
      </c>
      <c r="B7">
        <v>5</v>
      </c>
      <c r="C7">
        <f>RTD("tos.rtd", , "LAST", stocks[[#This Row],[Symbol]])</f>
        <v>241.21</v>
      </c>
      <c r="D7">
        <v>-1245.6500000000001</v>
      </c>
      <c r="E7" s="25">
        <f>IFERROR((stocks[[#This Row],[Current Price]]-stocks[[#This Row],[Avg Price]])*stocks[[#This Row],[Current Qty]],"")</f>
        <v>-39.599999999999937</v>
      </c>
      <c r="F7">
        <v>249.13</v>
      </c>
      <c r="G7" s="14"/>
    </row>
    <row r="8" spans="1:14" x14ac:dyDescent="0.25">
      <c r="A8" t="s">
        <v>38</v>
      </c>
      <c r="B8">
        <v>50</v>
      </c>
      <c r="C8">
        <f>RTD("tos.rtd", , "LAST", stocks[[#This Row],[Symbol]])</f>
        <v>24.02</v>
      </c>
      <c r="D8">
        <v>-521</v>
      </c>
      <c r="E8" s="25">
        <f>IFERROR((stocks[[#This Row],[Current Price]]-stocks[[#This Row],[Avg Price]])*stocks[[#This Row],[Current Qty]],"")</f>
        <v>680</v>
      </c>
      <c r="F8">
        <v>10.42</v>
      </c>
      <c r="G8" s="14"/>
    </row>
    <row r="9" spans="1:14" x14ac:dyDescent="0.25">
      <c r="A9" t="s">
        <v>39</v>
      </c>
      <c r="B9">
        <v>375</v>
      </c>
      <c r="C9">
        <f>RTD("tos.rtd", , "LAST", stocks[[#This Row],[Symbol]])</f>
        <v>0.99504999999999999</v>
      </c>
      <c r="D9">
        <v>-498.75</v>
      </c>
      <c r="E9" s="25">
        <f>IFERROR((stocks[[#This Row],[Current Price]]-stocks[[#This Row],[Avg Price]])*stocks[[#This Row],[Current Qty]],"")</f>
        <v>-125.60625000000003</v>
      </c>
      <c r="F9">
        <v>1.33</v>
      </c>
      <c r="G9" s="14"/>
    </row>
    <row r="10" spans="1:14" x14ac:dyDescent="0.25">
      <c r="A10" t="s">
        <v>40</v>
      </c>
      <c r="B10">
        <v>10</v>
      </c>
      <c r="C10">
        <f>RTD("tos.rtd", , "LAST", stocks[[#This Row],[Symbol]])</f>
        <v>59.06</v>
      </c>
      <c r="D10">
        <v>-389.5</v>
      </c>
      <c r="E10" s="25">
        <f>IFERROR((stocks[[#This Row],[Current Price]]-stocks[[#This Row],[Avg Price]])*stocks[[#This Row],[Current Qty]],"")</f>
        <v>201.1</v>
      </c>
      <c r="F10">
        <v>38.950000000000003</v>
      </c>
      <c r="G10" s="14"/>
    </row>
    <row r="11" spans="1:14" x14ac:dyDescent="0.25">
      <c r="A11" t="s">
        <v>41</v>
      </c>
      <c r="B11">
        <v>20</v>
      </c>
      <c r="C11">
        <f>RTD("tos.rtd", , "LAST", stocks[[#This Row],[Symbol]])</f>
        <v>69.89</v>
      </c>
      <c r="D11">
        <v>-1239.9000000000001</v>
      </c>
      <c r="E11" s="25">
        <f>IFERROR((stocks[[#This Row],[Current Price]]-stocks[[#This Row],[Avg Price]])*stocks[[#This Row],[Current Qty]],"")</f>
        <v>157.80000000000001</v>
      </c>
      <c r="F11">
        <v>62</v>
      </c>
      <c r="G11" s="14"/>
    </row>
    <row r="12" spans="1:14" x14ac:dyDescent="0.25">
      <c r="A12" t="s">
        <v>42</v>
      </c>
      <c r="B12">
        <v>5</v>
      </c>
      <c r="C12">
        <f>RTD("tos.rtd", , "LAST", stocks[[#This Row],[Symbol]])</f>
        <v>184.32</v>
      </c>
      <c r="D12">
        <v>-353.1</v>
      </c>
      <c r="E12" s="25">
        <f>IFERROR((stocks[[#This Row],[Current Price]]-stocks[[#This Row],[Avg Price]])*stocks[[#This Row],[Current Qty]],"")</f>
        <v>568.5</v>
      </c>
      <c r="F12">
        <v>70.62</v>
      </c>
      <c r="G12" s="14"/>
    </row>
    <row r="13" spans="1:14" x14ac:dyDescent="0.25">
      <c r="A13" t="s">
        <v>43</v>
      </c>
      <c r="B13">
        <v>75</v>
      </c>
      <c r="C13">
        <f>RTD("tos.rtd", , "LAST", stocks[[#This Row],[Symbol]])</f>
        <v>35.229999999999997</v>
      </c>
      <c r="D13">
        <v>-1251.75</v>
      </c>
      <c r="E13" s="25">
        <f>IFERROR((stocks[[#This Row],[Current Price]]-stocks[[#This Row],[Avg Price]])*stocks[[#This Row],[Current Qty]],"")</f>
        <v>1390.4999999999998</v>
      </c>
      <c r="F13">
        <v>16.690000000000001</v>
      </c>
      <c r="G13" s="14"/>
    </row>
    <row r="14" spans="1:14" x14ac:dyDescent="0.25">
      <c r="A14" t="s">
        <v>44</v>
      </c>
      <c r="B14">
        <v>5</v>
      </c>
      <c r="C14">
        <f>RTD("tos.rtd", , "LAST", stocks[[#This Row],[Symbol]])</f>
        <v>83</v>
      </c>
      <c r="D14">
        <v>-349.15</v>
      </c>
      <c r="E14" s="25">
        <f>IFERROR((stocks[[#This Row],[Current Price]]-stocks[[#This Row],[Avg Price]])*stocks[[#This Row],[Current Qty]],"")</f>
        <v>65.850000000000009</v>
      </c>
      <c r="F14">
        <v>69.83</v>
      </c>
      <c r="G14" s="14"/>
    </row>
    <row r="15" spans="1:14" x14ac:dyDescent="0.25">
      <c r="A15" t="s">
        <v>45</v>
      </c>
      <c r="B15">
        <v>0</v>
      </c>
      <c r="C15">
        <f>RTD("tos.rtd", , "LAST", stocks[[#This Row],[Symbol]])</f>
        <v>9</v>
      </c>
      <c r="D15">
        <v>217.62</v>
      </c>
      <c r="E15" s="25">
        <f>IFERROR((stocks[[#This Row],[Current Price]]-stocks[[#This Row],[Avg Price]])*stocks[[#This Row],[Current Qty]],"")</f>
        <v>0</v>
      </c>
      <c r="G15" s="14">
        <v>717.62</v>
      </c>
    </row>
    <row r="16" spans="1:14" x14ac:dyDescent="0.25">
      <c r="A16" t="s">
        <v>46</v>
      </c>
      <c r="B16">
        <v>25</v>
      </c>
      <c r="C16">
        <f>RTD("tos.rtd", , "LAST", stocks[[#This Row],[Symbol]])</f>
        <v>11.04</v>
      </c>
      <c r="D16">
        <v>-475</v>
      </c>
      <c r="E16" s="25">
        <f>IFERROR((stocks[[#This Row],[Current Price]]-stocks[[#This Row],[Avg Price]])*stocks[[#This Row],[Current Qty]],"")</f>
        <v>-199.00000000000003</v>
      </c>
      <c r="F16">
        <v>19</v>
      </c>
      <c r="G16" s="14"/>
    </row>
    <row r="17" spans="1:18" x14ac:dyDescent="0.25">
      <c r="A17" t="s">
        <v>47</v>
      </c>
      <c r="B17">
        <v>10</v>
      </c>
      <c r="C17">
        <f>RTD("tos.rtd", , "LAST", stocks[[#This Row],[Symbol]])</f>
        <v>97.42</v>
      </c>
      <c r="D17">
        <v>-987.5</v>
      </c>
      <c r="E17" s="25">
        <f>IFERROR((stocks[[#This Row],[Current Price]]-stocks[[#This Row],[Avg Price]])*stocks[[#This Row],[Current Qty]],"")</f>
        <v>-13.299999999999983</v>
      </c>
      <c r="F17">
        <v>98.75</v>
      </c>
      <c r="G17" s="14"/>
    </row>
    <row r="18" spans="1:18" x14ac:dyDescent="0.25">
      <c r="A18" t="s">
        <v>48</v>
      </c>
      <c r="B18">
        <v>15</v>
      </c>
      <c r="C18">
        <f>RTD("tos.rtd", , "LAST", stocks[[#This Row],[Symbol]])</f>
        <v>27.38</v>
      </c>
      <c r="D18">
        <v>-499.95</v>
      </c>
      <c r="E18" s="25">
        <f>IFERROR((stocks[[#This Row],[Current Price]]-stocks[[#This Row],[Avg Price]])*stocks[[#This Row],[Current Qty]],"")</f>
        <v>-89.249999999999986</v>
      </c>
      <c r="F18">
        <v>33.33</v>
      </c>
      <c r="G18" s="14"/>
    </row>
    <row r="19" spans="1:18" x14ac:dyDescent="0.25">
      <c r="A19" t="s">
        <v>49</v>
      </c>
      <c r="B19">
        <v>5</v>
      </c>
      <c r="C19">
        <f>RTD("tos.rtd", , "LAST", stocks[[#This Row],[Symbol]])</f>
        <v>90.76</v>
      </c>
      <c r="D19">
        <v>-370</v>
      </c>
      <c r="E19" s="25">
        <f>IFERROR((stocks[[#This Row],[Current Price]]-stocks[[#This Row],[Avg Price]])*stocks[[#This Row],[Current Qty]],"")</f>
        <v>83.800000000000026</v>
      </c>
      <c r="F19">
        <v>74</v>
      </c>
      <c r="G19" s="14"/>
    </row>
    <row r="20" spans="1:18" x14ac:dyDescent="0.25">
      <c r="A20" t="s">
        <v>50</v>
      </c>
      <c r="B20">
        <v>5</v>
      </c>
      <c r="C20">
        <f>RTD("tos.rtd", , "LAST", stocks[[#This Row],[Symbol]])</f>
        <v>104.91</v>
      </c>
      <c r="D20">
        <v>-448.45</v>
      </c>
      <c r="E20" s="25">
        <f>IFERROR((stocks[[#This Row],[Current Price]]-stocks[[#This Row],[Avg Price]])*stocks[[#This Row],[Current Qty]],"")</f>
        <v>76.099999999999994</v>
      </c>
      <c r="F20">
        <v>89.69</v>
      </c>
      <c r="G20" s="14"/>
    </row>
    <row r="21" spans="1:18" x14ac:dyDescent="0.25">
      <c r="A21" t="s">
        <v>51</v>
      </c>
      <c r="B21">
        <v>5</v>
      </c>
      <c r="C21">
        <f>RTD("tos.rtd", , "LAST", stocks[[#This Row],[Symbol]])</f>
        <v>124.58</v>
      </c>
      <c r="D21">
        <v>-500</v>
      </c>
      <c r="E21" s="25">
        <f>IFERROR((stocks[[#This Row],[Current Price]]-stocks[[#This Row],[Avg Price]])*stocks[[#This Row],[Current Qty]],"")</f>
        <v>122.89999999999999</v>
      </c>
      <c r="F21">
        <v>100</v>
      </c>
      <c r="G21" s="14"/>
    </row>
    <row r="22" spans="1:18" x14ac:dyDescent="0.25">
      <c r="A22" t="s">
        <v>52</v>
      </c>
      <c r="B22">
        <v>25</v>
      </c>
      <c r="C22">
        <f>RTD("tos.rtd", , "LAST", stocks[[#This Row],[Symbol]])</f>
        <v>74.5</v>
      </c>
      <c r="D22">
        <v>-1895.1</v>
      </c>
      <c r="E22" s="25">
        <f>IFERROR((stocks[[#This Row],[Current Price]]-stocks[[#This Row],[Avg Price]])*stocks[[#This Row],[Current Qty]],"")</f>
        <v>-32.499999999999929</v>
      </c>
      <c r="F22">
        <v>75.8</v>
      </c>
      <c r="G22" s="14"/>
      <c r="I22" s="47" t="s">
        <v>103</v>
      </c>
      <c r="J22" s="47"/>
      <c r="K22" s="47"/>
      <c r="L22" s="47"/>
      <c r="M22" s="47"/>
      <c r="N22" s="47"/>
      <c r="O22" s="47"/>
      <c r="P22" s="47"/>
      <c r="Q22" s="47"/>
      <c r="R22" s="31"/>
    </row>
    <row r="23" spans="1:18" x14ac:dyDescent="0.25">
      <c r="A23" t="s">
        <v>53</v>
      </c>
      <c r="B23">
        <v>45</v>
      </c>
      <c r="C23">
        <f>RTD("tos.rtd", , "LAST", stocks[[#This Row],[Symbol]])</f>
        <v>19.95</v>
      </c>
      <c r="D23">
        <v>-487.8</v>
      </c>
      <c r="E23" s="25">
        <f>IFERROR((stocks[[#This Row],[Current Price]]-stocks[[#This Row],[Avg Price]])*stocks[[#This Row],[Current Qty]],"")</f>
        <v>409.95</v>
      </c>
      <c r="F23">
        <v>10.84</v>
      </c>
      <c r="G23" s="14"/>
      <c r="I23" s="47"/>
      <c r="J23" s="47"/>
      <c r="K23" s="47"/>
      <c r="L23" s="47"/>
      <c r="M23" s="47"/>
      <c r="N23" s="47"/>
      <c r="O23" s="47"/>
      <c r="P23" s="47"/>
      <c r="Q23" s="47"/>
      <c r="R23" s="31"/>
    </row>
    <row r="24" spans="1:18" x14ac:dyDescent="0.25">
      <c r="A24" t="s">
        <v>54</v>
      </c>
      <c r="B24">
        <v>50</v>
      </c>
      <c r="C24">
        <f>RTD("tos.rtd", , "LAST", stocks[[#This Row],[Symbol]])</f>
        <v>8.57</v>
      </c>
      <c r="D24">
        <v>-502.5</v>
      </c>
      <c r="E24" s="25">
        <f>IFERROR((stocks[[#This Row],[Current Price]]-stocks[[#This Row],[Avg Price]])*stocks[[#This Row],[Current Qty]],"")</f>
        <v>-74.000000000000028</v>
      </c>
      <c r="F24">
        <v>10.050000000000001</v>
      </c>
      <c r="G24" s="14"/>
      <c r="I24" s="47"/>
      <c r="J24" s="47"/>
      <c r="K24" s="47"/>
      <c r="L24" s="47"/>
      <c r="M24" s="47"/>
      <c r="N24" s="47"/>
      <c r="O24" s="47"/>
      <c r="P24" s="47"/>
      <c r="Q24" s="47"/>
      <c r="R24" s="31"/>
    </row>
    <row r="25" spans="1:18" x14ac:dyDescent="0.25">
      <c r="A25" t="s">
        <v>55</v>
      </c>
      <c r="B25">
        <v>10</v>
      </c>
      <c r="C25">
        <f>RTD("tos.rtd", , "LAST", stocks[[#This Row],[Symbol]])</f>
        <v>74.02</v>
      </c>
      <c r="D25">
        <v>-881.3</v>
      </c>
      <c r="E25" s="25">
        <f>IFERROR((stocks[[#This Row],[Current Price]]-stocks[[#This Row],[Avg Price]])*stocks[[#This Row],[Current Qty]],"")</f>
        <v>-141.1</v>
      </c>
      <c r="F25">
        <v>88.13</v>
      </c>
      <c r="G25" s="14"/>
      <c r="I25" s="31"/>
      <c r="J25" s="31"/>
      <c r="K25" s="31"/>
      <c r="L25" s="31"/>
      <c r="M25" s="31"/>
      <c r="N25" s="31"/>
      <c r="O25" s="31"/>
      <c r="P25" s="31"/>
      <c r="Q25" s="31"/>
      <c r="R25" s="31"/>
    </row>
    <row r="26" spans="1:18" x14ac:dyDescent="0.25">
      <c r="A26" t="s">
        <v>56</v>
      </c>
      <c r="B26">
        <v>10</v>
      </c>
      <c r="C26">
        <f>RTD("tos.rtd", , "LAST", stocks[[#This Row],[Symbol]])</f>
        <v>52.8</v>
      </c>
      <c r="D26">
        <v>-445</v>
      </c>
      <c r="E26" s="25">
        <f>IFERROR((stocks[[#This Row],[Current Price]]-stocks[[#This Row],[Avg Price]])*stocks[[#This Row],[Current Qty]],"")</f>
        <v>82.999999999999972</v>
      </c>
      <c r="F26">
        <v>44.5</v>
      </c>
      <c r="G26" s="14"/>
    </row>
    <row r="27" spans="1:18" x14ac:dyDescent="0.25">
      <c r="A27" t="s">
        <v>57</v>
      </c>
      <c r="B27">
        <v>60</v>
      </c>
      <c r="C27">
        <f>RTD("tos.rtd", , "LAST", stocks[[#This Row],[Symbol]])</f>
        <v>5.0199999999999996</v>
      </c>
      <c r="D27">
        <v>-501.6</v>
      </c>
      <c r="E27" s="25">
        <f>IFERROR((stocks[[#This Row],[Current Price]]-stocks[[#This Row],[Avg Price]])*stocks[[#This Row],[Current Qty]],"")</f>
        <v>-200.39999999999998</v>
      </c>
      <c r="F27">
        <v>8.36</v>
      </c>
      <c r="G27" s="14"/>
    </row>
    <row r="28" spans="1:18" x14ac:dyDescent="0.25">
      <c r="A28" t="s">
        <v>58</v>
      </c>
      <c r="B28">
        <v>10</v>
      </c>
      <c r="C28">
        <f>RTD("tos.rtd", , "LAST", stocks[[#This Row],[Symbol]])</f>
        <v>38.97</v>
      </c>
      <c r="D28">
        <v>-411.5</v>
      </c>
      <c r="E28" s="25">
        <f>IFERROR((stocks[[#This Row],[Current Price]]-stocks[[#This Row],[Avg Price]])*stocks[[#This Row],[Current Qty]],"")</f>
        <v>-21.799999999999997</v>
      </c>
      <c r="F28">
        <v>41.15</v>
      </c>
      <c r="G28" s="14"/>
    </row>
    <row r="29" spans="1:18" x14ac:dyDescent="0.25">
      <c r="A29" t="s">
        <v>59</v>
      </c>
      <c r="B29">
        <v>20</v>
      </c>
      <c r="C29">
        <f>RTD("tos.rtd", , "LAST", stocks[[#This Row],[Symbol]])</f>
        <v>79.650000000000006</v>
      </c>
      <c r="D29">
        <v>-1890.75</v>
      </c>
      <c r="E29" s="25">
        <f>IFERROR((stocks[[#This Row],[Current Price]]-stocks[[#This Row],[Avg Price]])*stocks[[#This Row],[Current Qty]],"")</f>
        <v>-297.8</v>
      </c>
      <c r="F29">
        <v>94.54</v>
      </c>
      <c r="G29" s="14"/>
    </row>
    <row r="30" spans="1:18" x14ac:dyDescent="0.25">
      <c r="A30" t="s">
        <v>60</v>
      </c>
      <c r="B30">
        <v>90</v>
      </c>
      <c r="C30">
        <f>RTD("tos.rtd", , "LAST", stocks[[#This Row],[Symbol]])</f>
        <v>30</v>
      </c>
      <c r="D30">
        <v>-2376.4</v>
      </c>
      <c r="E30" s="25">
        <f>IFERROR((stocks[[#This Row],[Current Price]]-stocks[[#This Row],[Avg Price]])*stocks[[#This Row],[Current Qty]],"")</f>
        <v>324.00000000000011</v>
      </c>
      <c r="F30">
        <v>26.4</v>
      </c>
      <c r="G30" s="14"/>
    </row>
    <row r="31" spans="1:18" x14ac:dyDescent="0.25">
      <c r="A31" t="s">
        <v>61</v>
      </c>
      <c r="B31">
        <v>45</v>
      </c>
      <c r="C31">
        <f>RTD("tos.rtd", , "LAST", stocks[[#This Row],[Symbol]])</f>
        <v>33.03</v>
      </c>
      <c r="D31">
        <v>-1000.3</v>
      </c>
      <c r="E31" s="25">
        <f>IFERROR((stocks[[#This Row],[Current Price]]-stocks[[#This Row],[Avg Price]])*stocks[[#This Row],[Current Qty]],"")</f>
        <v>486.00000000000006</v>
      </c>
      <c r="F31">
        <v>22.23</v>
      </c>
      <c r="G31" s="14"/>
    </row>
    <row r="32" spans="1:18" x14ac:dyDescent="0.25">
      <c r="A32" t="s">
        <v>62</v>
      </c>
      <c r="B32">
        <v>45</v>
      </c>
      <c r="C32">
        <f>RTD("tos.rtd", , "LAST", stocks[[#This Row],[Symbol]])</f>
        <v>37.39</v>
      </c>
      <c r="D32">
        <v>-990.2</v>
      </c>
      <c r="E32" s="25">
        <f>IFERROR((stocks[[#This Row],[Current Price]]-stocks[[#This Row],[Avg Price]])*stocks[[#This Row],[Current Qty]],"")</f>
        <v>692.55000000000007</v>
      </c>
      <c r="F32">
        <v>22</v>
      </c>
      <c r="G32" s="14"/>
    </row>
    <row r="33" spans="1:17" x14ac:dyDescent="0.25">
      <c r="A33" t="s">
        <v>63</v>
      </c>
      <c r="B33">
        <v>575</v>
      </c>
      <c r="C33">
        <f>RTD("tos.rtd", , "LAST", stocks[[#This Row],[Symbol]])</f>
        <v>6.2</v>
      </c>
      <c r="D33">
        <v>-2954.73</v>
      </c>
      <c r="E33" s="25">
        <f>IFERROR((stocks[[#This Row],[Current Price]]-stocks[[#This Row],[Avg Price]])*stocks[[#This Row],[Current Qty]],"")</f>
        <v>609.50000000000034</v>
      </c>
      <c r="F33">
        <v>5.14</v>
      </c>
      <c r="G33" s="14"/>
    </row>
    <row r="34" spans="1:17" x14ac:dyDescent="0.25">
      <c r="A34" t="s">
        <v>64</v>
      </c>
      <c r="B34">
        <v>75</v>
      </c>
      <c r="C34">
        <f>RTD("tos.rtd", , "LAST", stocks[[#This Row],[Symbol]])</f>
        <v>27.86</v>
      </c>
      <c r="D34">
        <v>-1486</v>
      </c>
      <c r="E34" s="25">
        <f>IFERROR((stocks[[#This Row],[Current Price]]-stocks[[#This Row],[Avg Price]])*stocks[[#This Row],[Current Qty]],"")</f>
        <v>603.75</v>
      </c>
      <c r="F34">
        <v>19.809999999999999</v>
      </c>
      <c r="G34" s="14"/>
    </row>
    <row r="35" spans="1:17" x14ac:dyDescent="0.25">
      <c r="A35" t="s">
        <v>65</v>
      </c>
      <c r="B35">
        <v>10</v>
      </c>
      <c r="C35">
        <f>RTD("tos.rtd", , "LAST", stocks[[#This Row],[Symbol]])</f>
        <v>48.87</v>
      </c>
      <c r="D35">
        <v>-460</v>
      </c>
      <c r="E35" s="25">
        <f>IFERROR((stocks[[#This Row],[Current Price]]-stocks[[#This Row],[Avg Price]])*stocks[[#This Row],[Current Qty]],"")</f>
        <v>28.699999999999974</v>
      </c>
      <c r="F35">
        <v>46</v>
      </c>
      <c r="G35" s="14"/>
    </row>
    <row r="36" spans="1:17" x14ac:dyDescent="0.25">
      <c r="A36" t="s">
        <v>66</v>
      </c>
      <c r="B36">
        <v>5</v>
      </c>
      <c r="C36">
        <f>RTD("tos.rtd", , "LAST", stocks[[#This Row],[Symbol]])</f>
        <v>107.86</v>
      </c>
      <c r="D36">
        <v>-460</v>
      </c>
      <c r="E36" s="25">
        <f>IFERROR((stocks[[#This Row],[Current Price]]-stocks[[#This Row],[Avg Price]])*stocks[[#This Row],[Current Qty]],"")</f>
        <v>79.3</v>
      </c>
      <c r="F36">
        <v>92</v>
      </c>
      <c r="G36" s="14"/>
    </row>
    <row r="37" spans="1:17" x14ac:dyDescent="0.25">
      <c r="A37" t="s">
        <v>67</v>
      </c>
      <c r="B37">
        <v>135</v>
      </c>
      <c r="C37">
        <f>RTD("tos.rtd", , "LAST", stocks[[#This Row],[Symbol]])</f>
        <v>2.7</v>
      </c>
      <c r="D37">
        <v>-468.45</v>
      </c>
      <c r="E37" s="25">
        <f>IFERROR((stocks[[#This Row],[Current Price]]-stocks[[#This Row],[Avg Price]])*stocks[[#This Row],[Current Qty]],"")</f>
        <v>-103.95</v>
      </c>
      <c r="F37">
        <v>3.47</v>
      </c>
      <c r="G37" s="14"/>
    </row>
    <row r="38" spans="1:17" x14ac:dyDescent="0.25">
      <c r="A38" t="s">
        <v>68</v>
      </c>
      <c r="B38">
        <v>30</v>
      </c>
      <c r="C38">
        <f>RTD("tos.rtd", , "LAST", stocks[[#This Row],[Symbol]])</f>
        <v>21.19</v>
      </c>
      <c r="D38">
        <v>-480</v>
      </c>
      <c r="E38" s="25">
        <f>IFERROR((stocks[[#This Row],[Current Price]]-stocks[[#This Row],[Avg Price]])*stocks[[#This Row],[Current Qty]],"")</f>
        <v>155.70000000000005</v>
      </c>
      <c r="F38">
        <v>16</v>
      </c>
      <c r="G38" s="14"/>
    </row>
    <row r="39" spans="1:17" x14ac:dyDescent="0.25">
      <c r="A39" t="s">
        <v>69</v>
      </c>
      <c r="B39">
        <v>65</v>
      </c>
      <c r="C39">
        <f>RTD("tos.rtd", , "LAST", stocks[[#This Row],[Symbol]])</f>
        <v>6.49</v>
      </c>
      <c r="D39">
        <v>-466.7</v>
      </c>
      <c r="E39" s="25">
        <f>IFERROR((stocks[[#This Row],[Current Price]]-stocks[[#This Row],[Avg Price]])*stocks[[#This Row],[Current Qty]],"")</f>
        <v>-44.849999999999966</v>
      </c>
      <c r="F39">
        <v>7.18</v>
      </c>
      <c r="G39" s="14"/>
    </row>
    <row r="40" spans="1:17" x14ac:dyDescent="0.25">
      <c r="A40" t="s">
        <v>111</v>
      </c>
      <c r="B40">
        <v>0</v>
      </c>
      <c r="C40">
        <f>RTD("tos.rtd", , "LAST", stocks[[#This Row],[Symbol]])</f>
        <v>411.21</v>
      </c>
      <c r="D40">
        <v>1002</v>
      </c>
      <c r="E40" s="25">
        <f>IFERROR((stocks[[#This Row],[Current Price]]-stocks[[#This Row],[Avg Price]])*stocks[[#This Row],[Current Qty]],"")</f>
        <v>0</v>
      </c>
      <c r="G40" s="14">
        <v>1002</v>
      </c>
    </row>
    <row r="41" spans="1:17" x14ac:dyDescent="0.25">
      <c r="A41" t="s">
        <v>70</v>
      </c>
      <c r="B41">
        <v>25</v>
      </c>
      <c r="C41">
        <f>RTD("tos.rtd", , "LAST", stocks[[#This Row],[Symbol]])</f>
        <v>38.72</v>
      </c>
      <c r="D41">
        <v>-885</v>
      </c>
      <c r="E41" s="25">
        <f>IFERROR((stocks[[#This Row],[Current Price]]-stocks[[#This Row],[Avg Price]])*stocks[[#This Row],[Current Qty]],"")</f>
        <v>83</v>
      </c>
      <c r="F41">
        <v>35.4</v>
      </c>
      <c r="G41" s="14"/>
    </row>
    <row r="42" spans="1:17" x14ac:dyDescent="0.25">
      <c r="A42" t="s">
        <v>71</v>
      </c>
      <c r="B42">
        <v>5</v>
      </c>
      <c r="C42">
        <f>RTD("tos.rtd", , "LAST", stocks[[#This Row],[Symbol]])</f>
        <v>119.85</v>
      </c>
      <c r="D42">
        <v>-391.7</v>
      </c>
      <c r="E42" s="25">
        <f>IFERROR((stocks[[#This Row],[Current Price]]-stocks[[#This Row],[Avg Price]])*stocks[[#This Row],[Current Qty]],"")</f>
        <v>207.54999999999995</v>
      </c>
      <c r="F42">
        <v>78.34</v>
      </c>
      <c r="G42" s="14"/>
    </row>
    <row r="43" spans="1:17" x14ac:dyDescent="0.25">
      <c r="A43" t="s">
        <v>72</v>
      </c>
      <c r="B43">
        <v>20</v>
      </c>
      <c r="C43">
        <f>RTD("tos.rtd", , "LAST", stocks[[#This Row],[Symbol]])</f>
        <v>59.43</v>
      </c>
      <c r="D43">
        <v>-840</v>
      </c>
      <c r="E43" s="25">
        <f>IFERROR((stocks[[#This Row],[Current Price]]-stocks[[#This Row],[Avg Price]])*stocks[[#This Row],[Current Qty]],"")</f>
        <v>348.6</v>
      </c>
      <c r="F43">
        <v>42</v>
      </c>
      <c r="G43" s="14"/>
    </row>
    <row r="44" spans="1:17" x14ac:dyDescent="0.25">
      <c r="A44" t="s">
        <v>73</v>
      </c>
      <c r="B44">
        <v>25</v>
      </c>
      <c r="C44">
        <f>RTD("tos.rtd", , "LAST", stocks[[#This Row],[Symbol]])</f>
        <v>44.11</v>
      </c>
      <c r="D44">
        <v>-866.15</v>
      </c>
      <c r="E44" s="25">
        <f>IFERROR((stocks[[#This Row],[Current Price]]-stocks[[#This Row],[Avg Price]])*stocks[[#This Row],[Current Qty]],"")</f>
        <v>236.50000000000003</v>
      </c>
      <c r="F44">
        <v>34.65</v>
      </c>
      <c r="G44" s="14"/>
      <c r="I44" s="47" t="s">
        <v>110</v>
      </c>
      <c r="J44" s="48"/>
      <c r="K44" s="48"/>
      <c r="L44" s="48"/>
      <c r="M44" s="48"/>
      <c r="N44" s="48"/>
      <c r="O44" s="48"/>
      <c r="P44" s="48"/>
      <c r="Q44" s="48"/>
    </row>
    <row r="45" spans="1:17" x14ac:dyDescent="0.25">
      <c r="A45" t="s">
        <v>74</v>
      </c>
      <c r="B45">
        <v>10</v>
      </c>
      <c r="C45">
        <f>RTD("tos.rtd", , "LAST", stocks[[#This Row],[Symbol]])</f>
        <v>103.32</v>
      </c>
      <c r="D45">
        <v>-1152.45</v>
      </c>
      <c r="E45" s="25">
        <f>IFERROR((stocks[[#This Row],[Current Price]]-stocks[[#This Row],[Avg Price]])*stocks[[#This Row],[Current Qty]],"")</f>
        <v>-119.20000000000002</v>
      </c>
      <c r="F45">
        <v>115.24</v>
      </c>
      <c r="G45" s="14"/>
      <c r="I45" s="48"/>
      <c r="J45" s="48"/>
      <c r="K45" s="48"/>
      <c r="L45" s="48"/>
      <c r="M45" s="48"/>
      <c r="N45" s="48"/>
      <c r="O45" s="48"/>
      <c r="P45" s="48"/>
      <c r="Q45" s="48"/>
    </row>
    <row r="46" spans="1:17" x14ac:dyDescent="0.25">
      <c r="A46" t="s">
        <v>75</v>
      </c>
      <c r="B46">
        <v>10</v>
      </c>
      <c r="C46">
        <f>RTD("tos.rtd", , "LAST", stocks[[#This Row],[Symbol]])</f>
        <v>81.849999999999994</v>
      </c>
      <c r="D46">
        <v>-577.4</v>
      </c>
      <c r="E46" s="25">
        <f>IFERROR((stocks[[#This Row],[Current Price]]-stocks[[#This Row],[Avg Price]])*stocks[[#This Row],[Current Qty]],"")</f>
        <v>241.09999999999991</v>
      </c>
      <c r="F46">
        <v>57.74</v>
      </c>
      <c r="G46" s="14"/>
    </row>
    <row r="47" spans="1:17" x14ac:dyDescent="0.25">
      <c r="A47" t="s">
        <v>76</v>
      </c>
      <c r="B47">
        <v>10</v>
      </c>
      <c r="C47">
        <f>RTD("tos.rtd", , "LAST", stocks[[#This Row],[Symbol]])</f>
        <v>130.46</v>
      </c>
      <c r="D47">
        <v>-1152.8</v>
      </c>
      <c r="E47" s="25">
        <f>IFERROR((stocks[[#This Row],[Current Price]]-stocks[[#This Row],[Avg Price]])*stocks[[#This Row],[Current Qty]],"")</f>
        <v>151.80000000000007</v>
      </c>
      <c r="F47">
        <v>115.28</v>
      </c>
      <c r="G47" s="14"/>
    </row>
    <row r="48" spans="1:17" x14ac:dyDescent="0.25">
      <c r="A48" t="s">
        <v>77</v>
      </c>
      <c r="B48">
        <v>10</v>
      </c>
      <c r="C48">
        <f>RTD("tos.rtd", , "LAST", stocks[[#This Row],[Symbol]])</f>
        <v>54.73</v>
      </c>
      <c r="D48">
        <v>-421.4</v>
      </c>
      <c r="E48" s="25">
        <f>IFERROR((stocks[[#This Row],[Current Price]]-stocks[[#This Row],[Avg Price]])*stocks[[#This Row],[Current Qty]],"")</f>
        <v>125.89999999999996</v>
      </c>
      <c r="F48">
        <v>42.14</v>
      </c>
      <c r="G48" s="14"/>
    </row>
    <row r="49" spans="1:7" x14ac:dyDescent="0.25">
      <c r="A49" t="s">
        <v>78</v>
      </c>
      <c r="B49">
        <v>140</v>
      </c>
      <c r="C49">
        <f>RTD("tos.rtd", , "LAST", stocks[[#This Row],[Symbol]])</f>
        <v>8.9600000000000009</v>
      </c>
      <c r="D49">
        <v>-1462.88</v>
      </c>
      <c r="E49" s="25">
        <f>IFERROR((stocks[[#This Row],[Current Price]]-stocks[[#This Row],[Avg Price]])*stocks[[#This Row],[Current Qty]],"")</f>
        <v>-208.5999999999998</v>
      </c>
      <c r="F49">
        <v>10.45</v>
      </c>
      <c r="G49" s="14"/>
    </row>
    <row r="50" spans="1:7" x14ac:dyDescent="0.25">
      <c r="A50" t="s">
        <v>79</v>
      </c>
      <c r="B50">
        <v>75</v>
      </c>
      <c r="C50">
        <f>RTD("tos.rtd", , "LAST", stocks[[#This Row],[Symbol]])</f>
        <v>19.73</v>
      </c>
      <c r="D50">
        <v>-1425</v>
      </c>
      <c r="E50" s="25">
        <f>IFERROR((stocks[[#This Row],[Current Price]]-stocks[[#This Row],[Avg Price]])*stocks[[#This Row],[Current Qty]],"")</f>
        <v>54.750000000000028</v>
      </c>
      <c r="F50">
        <v>19</v>
      </c>
      <c r="G50" s="14"/>
    </row>
    <row r="51" spans="1:7" x14ac:dyDescent="0.25">
      <c r="A51" t="s">
        <v>80</v>
      </c>
      <c r="B51">
        <v>20</v>
      </c>
      <c r="C51">
        <f>RTD("tos.rtd", , "LAST", stocks[[#This Row],[Symbol]])</f>
        <v>24.1</v>
      </c>
      <c r="D51">
        <v>-450.4</v>
      </c>
      <c r="E51" s="25">
        <f>IFERROR((stocks[[#This Row],[Current Price]]-stocks[[#This Row],[Avg Price]])*stocks[[#This Row],[Current Qty]],"")</f>
        <v>31.600000000000037</v>
      </c>
      <c r="F51">
        <v>22.52</v>
      </c>
      <c r="G51" s="14"/>
    </row>
    <row r="52" spans="1:7" x14ac:dyDescent="0.25">
      <c r="A52" t="s">
        <v>81</v>
      </c>
      <c r="B52">
        <v>30</v>
      </c>
      <c r="C52">
        <f>RTD("tos.rtd", , "LAST", stocks[[#This Row],[Symbol]])</f>
        <v>13</v>
      </c>
      <c r="D52">
        <v>-354</v>
      </c>
      <c r="E52" s="25">
        <f>IFERROR((stocks[[#This Row],[Current Price]]-stocks[[#This Row],[Avg Price]])*stocks[[#This Row],[Current Qty]],"")</f>
        <v>35.999999999999979</v>
      </c>
      <c r="F52">
        <v>11.8</v>
      </c>
      <c r="G52" s="14"/>
    </row>
    <row r="53" spans="1:7" x14ac:dyDescent="0.25">
      <c r="A53" t="s">
        <v>82</v>
      </c>
      <c r="B53">
        <v>30</v>
      </c>
      <c r="C53">
        <f>RTD("tos.rtd", , "LAST", stocks[[#This Row],[Symbol]])</f>
        <v>6.28</v>
      </c>
      <c r="D53">
        <v>-510</v>
      </c>
      <c r="E53" s="25">
        <f>IFERROR((stocks[[#This Row],[Current Price]]-stocks[[#This Row],[Avg Price]])*stocks[[#This Row],[Current Qty]],"")</f>
        <v>-321.59999999999997</v>
      </c>
      <c r="F53">
        <v>17</v>
      </c>
      <c r="G53" s="14"/>
    </row>
    <row r="54" spans="1:7" x14ac:dyDescent="0.25">
      <c r="A54" t="s">
        <v>83</v>
      </c>
      <c r="B54">
        <v>10</v>
      </c>
      <c r="C54">
        <f>RTD("tos.rtd", , "LAST", stocks[[#This Row],[Symbol]])</f>
        <v>79.3</v>
      </c>
      <c r="D54">
        <v>-355</v>
      </c>
      <c r="E54" s="25">
        <f>IFERROR((stocks[[#This Row],[Current Price]]-stocks[[#This Row],[Avg Price]])*stocks[[#This Row],[Current Qty]],"")</f>
        <v>438</v>
      </c>
      <c r="F54">
        <v>35.5</v>
      </c>
      <c r="G54" s="14"/>
    </row>
    <row r="55" spans="1:7" x14ac:dyDescent="0.25">
      <c r="A55" t="s">
        <v>84</v>
      </c>
      <c r="B55">
        <v>10</v>
      </c>
      <c r="C55">
        <f>RTD("tos.rtd", , "LAST", stocks[[#This Row],[Symbol]])</f>
        <v>64.97</v>
      </c>
      <c r="D55">
        <v>-399.9</v>
      </c>
      <c r="E55" s="25">
        <f>IFERROR((stocks[[#This Row],[Current Price]]-stocks[[#This Row],[Avg Price]])*stocks[[#This Row],[Current Qty]],"")</f>
        <v>249.79999999999995</v>
      </c>
      <c r="F55">
        <v>39.99</v>
      </c>
      <c r="G55" s="14"/>
    </row>
    <row r="56" spans="1:7" x14ac:dyDescent="0.25">
      <c r="A56" t="s">
        <v>85</v>
      </c>
      <c r="B56">
        <v>20</v>
      </c>
      <c r="C56">
        <f>RTD("tos.rtd", , "LAST", stocks[[#This Row],[Symbol]])</f>
        <v>53.46</v>
      </c>
      <c r="D56">
        <v>-769.3</v>
      </c>
      <c r="E56" s="25">
        <f>IFERROR((stocks[[#This Row],[Current Price]]-stocks[[#This Row],[Avg Price]])*stocks[[#This Row],[Current Qty]],"")</f>
        <v>300</v>
      </c>
      <c r="F56">
        <v>38.46</v>
      </c>
      <c r="G56" s="14"/>
    </row>
    <row r="57" spans="1:7" x14ac:dyDescent="0.25">
      <c r="A57" t="s">
        <v>86</v>
      </c>
      <c r="B57">
        <v>175</v>
      </c>
      <c r="C57">
        <f>RTD("tos.rtd", , "LAST", stocks[[#This Row],[Symbol]])</f>
        <v>18.809999999999999</v>
      </c>
      <c r="D57">
        <v>-3037.2</v>
      </c>
      <c r="E57" s="25">
        <f>IFERROR((stocks[[#This Row],[Current Price]]-stocks[[#This Row],[Avg Price]])*stocks[[#This Row],[Current Qty]],"")</f>
        <v>253.74999999999989</v>
      </c>
      <c r="F57">
        <v>17.36</v>
      </c>
      <c r="G57" s="14"/>
    </row>
    <row r="58" spans="1:7" x14ac:dyDescent="0.25">
      <c r="A58" t="s">
        <v>87</v>
      </c>
      <c r="B58">
        <v>5</v>
      </c>
      <c r="C58">
        <f>RTD("tos.rtd", , "LAST", stocks[[#This Row],[Symbol]])</f>
        <v>111.3</v>
      </c>
      <c r="D58">
        <v>-475.15</v>
      </c>
      <c r="E58" s="25">
        <f>IFERROR((stocks[[#This Row],[Current Price]]-stocks[[#This Row],[Avg Price]])*stocks[[#This Row],[Current Qty]],"")</f>
        <v>81.34999999999998</v>
      </c>
      <c r="F58">
        <v>95.03</v>
      </c>
      <c r="G58" s="14"/>
    </row>
    <row r="59" spans="1:7" x14ac:dyDescent="0.25">
      <c r="A59" t="s">
        <v>88</v>
      </c>
      <c r="B59">
        <v>15</v>
      </c>
      <c r="C59">
        <f>RTD("tos.rtd", , "LAST", stocks[[#This Row],[Symbol]])</f>
        <v>63.57</v>
      </c>
      <c r="D59">
        <v>-978.1</v>
      </c>
      <c r="E59" s="25">
        <f>IFERROR((stocks[[#This Row],[Current Price]]-stocks[[#This Row],[Avg Price]])*stocks[[#This Row],[Current Qty]],"")</f>
        <v>-24.599999999999902</v>
      </c>
      <c r="F59">
        <v>65.209999999999994</v>
      </c>
      <c r="G59" s="14"/>
    </row>
    <row r="60" spans="1:7" x14ac:dyDescent="0.25">
      <c r="A60" t="s">
        <v>89</v>
      </c>
      <c r="B60">
        <v>70</v>
      </c>
      <c r="C60">
        <f>RTD("tos.rtd", , "LAST", stocks[[#This Row],[Symbol]])</f>
        <v>5.78</v>
      </c>
      <c r="D60">
        <v>-479.5</v>
      </c>
      <c r="E60" s="25">
        <f>IFERROR((stocks[[#This Row],[Current Price]]-stocks[[#This Row],[Avg Price]])*stocks[[#This Row],[Current Qty]],"")</f>
        <v>-74.899999999999963</v>
      </c>
      <c r="F60">
        <v>6.85</v>
      </c>
      <c r="G60" s="14"/>
    </row>
    <row r="61" spans="1:7" x14ac:dyDescent="0.25">
      <c r="A61" t="s">
        <v>90</v>
      </c>
      <c r="B61">
        <v>5</v>
      </c>
      <c r="C61">
        <f>RTD("tos.rtd", , "LAST", stocks[[#This Row],[Symbol]])</f>
        <v>74.42</v>
      </c>
      <c r="D61">
        <v>-290</v>
      </c>
      <c r="E61" s="25">
        <f>IFERROR((stocks[[#This Row],[Current Price]]-stocks[[#This Row],[Avg Price]])*stocks[[#This Row],[Current Qty]],"")</f>
        <v>82.100000000000009</v>
      </c>
      <c r="F61">
        <v>58</v>
      </c>
      <c r="G61" s="14"/>
    </row>
    <row r="62" spans="1:7" x14ac:dyDescent="0.25">
      <c r="A62" t="s">
        <v>91</v>
      </c>
      <c r="B62">
        <v>5</v>
      </c>
      <c r="C62">
        <f>RTD("tos.rtd", , "LAST", stocks[[#This Row],[Symbol]])</f>
        <v>69</v>
      </c>
      <c r="D62">
        <v>-295</v>
      </c>
      <c r="E62" s="25">
        <f>IFERROR((stocks[[#This Row],[Current Price]]-stocks[[#This Row],[Avg Price]])*stocks[[#This Row],[Current Qty]],"")</f>
        <v>50</v>
      </c>
      <c r="F62">
        <v>59</v>
      </c>
      <c r="G62" s="14"/>
    </row>
    <row r="63" spans="1:7" x14ac:dyDescent="0.25">
      <c r="A63" t="s">
        <v>92</v>
      </c>
      <c r="B63">
        <v>0</v>
      </c>
      <c r="C63">
        <f>RTD("tos.rtd", , "LAST", stocks[[#This Row],[Symbol]])</f>
        <v>28.05</v>
      </c>
      <c r="D63">
        <v>-145.05000000000001</v>
      </c>
      <c r="E63" s="25">
        <f>IFERROR((stocks[[#This Row],[Current Price]]-stocks[[#This Row],[Avg Price]])*stocks[[#This Row],[Current Qty]],"")</f>
        <v>0</v>
      </c>
      <c r="G63" s="14">
        <v>-145.05000000000001</v>
      </c>
    </row>
    <row r="64" spans="1:7" x14ac:dyDescent="0.25">
      <c r="A64" t="s">
        <v>93</v>
      </c>
      <c r="B64">
        <v>95</v>
      </c>
      <c r="C64">
        <f>RTD("tos.rtd", , "LAST", stocks[[#This Row],[Symbol]])</f>
        <v>17.170000000000002</v>
      </c>
      <c r="D64">
        <v>-1402.7</v>
      </c>
      <c r="E64" s="25">
        <f>IFERROR((stocks[[#This Row],[Current Price]]-stocks[[#This Row],[Avg Price]])*stocks[[#This Row],[Current Qty]],"")</f>
        <v>228.0000000000002</v>
      </c>
      <c r="F64">
        <v>14.77</v>
      </c>
      <c r="G64" s="14"/>
    </row>
    <row r="65" spans="1:7" x14ac:dyDescent="0.25">
      <c r="A65" t="s">
        <v>94</v>
      </c>
      <c r="B65">
        <v>535</v>
      </c>
      <c r="C65">
        <f>RTD("tos.rtd", , "LAST", stocks[[#This Row],[Symbol]])</f>
        <v>2.56</v>
      </c>
      <c r="D65">
        <v>-1489.72</v>
      </c>
      <c r="E65" s="25">
        <f>IFERROR((stocks[[#This Row],[Current Price]]-stocks[[#This Row],[Avg Price]])*stocks[[#This Row],[Current Qty]],"")</f>
        <v>-117.69999999999986</v>
      </c>
      <c r="F65">
        <v>2.78</v>
      </c>
      <c r="G65" s="14"/>
    </row>
    <row r="66" spans="1:7" x14ac:dyDescent="0.25">
      <c r="A66" t="s">
        <v>95</v>
      </c>
      <c r="B66">
        <v>130</v>
      </c>
      <c r="C66">
        <f>RTD("tos.rtd", , "LAST", stocks[[#This Row],[Symbol]])</f>
        <v>5.15</v>
      </c>
      <c r="D66">
        <v>-1399.25</v>
      </c>
      <c r="E66" s="25">
        <f>IFERROR((stocks[[#This Row],[Current Price]]-stocks[[#This Row],[Avg Price]])*stocks[[#This Row],[Current Qty]],"")</f>
        <v>-729.3</v>
      </c>
      <c r="F66">
        <v>10.76</v>
      </c>
      <c r="G66" s="14"/>
    </row>
    <row r="67" spans="1:7" x14ac:dyDescent="0.25">
      <c r="A67" t="s">
        <v>96</v>
      </c>
      <c r="B67">
        <v>100</v>
      </c>
      <c r="C67">
        <f>RTD("tos.rtd", , "LAST", stocks[[#This Row],[Symbol]])</f>
        <v>6.87</v>
      </c>
      <c r="D67">
        <v>-400</v>
      </c>
      <c r="E67" s="25">
        <f>IFERROR((stocks[[#This Row],[Current Price]]-stocks[[#This Row],[Avg Price]])*stocks[[#This Row],[Current Qty]],"")</f>
        <v>287</v>
      </c>
      <c r="F67">
        <v>4</v>
      </c>
      <c r="G67" s="14"/>
    </row>
    <row r="68" spans="1:7" x14ac:dyDescent="0.25">
      <c r="A68" t="s">
        <v>97</v>
      </c>
      <c r="B68">
        <v>20</v>
      </c>
      <c r="C68">
        <f>RTD("tos.rtd", , "LAST", stocks[[#This Row],[Symbol]])</f>
        <v>3.83</v>
      </c>
      <c r="D68">
        <v>-142.5</v>
      </c>
      <c r="E68" s="25">
        <f>IFERROR((stocks[[#This Row],[Current Price]]-stocks[[#This Row],[Avg Price]])*stocks[[#This Row],[Current Qty]],"")</f>
        <v>-49.399999999999991</v>
      </c>
      <c r="F68">
        <v>6.3</v>
      </c>
      <c r="G68" s="14">
        <v>-142.5</v>
      </c>
    </row>
    <row r="69" spans="1:7" x14ac:dyDescent="0.25">
      <c r="A69" t="s">
        <v>98</v>
      </c>
      <c r="B69">
        <v>20</v>
      </c>
      <c r="C69">
        <f>RTD("tos.rtd", , "LAST", stocks[[#This Row],[Symbol]])</f>
        <v>50.74</v>
      </c>
      <c r="D69">
        <v>-872.1</v>
      </c>
      <c r="E69" s="25">
        <f>IFERROR((stocks[[#This Row],[Current Price]]-stocks[[#This Row],[Avg Price]])*stocks[[#This Row],[Current Qty]],"")</f>
        <v>142.80000000000001</v>
      </c>
      <c r="F69">
        <v>43.6</v>
      </c>
      <c r="G69" s="14"/>
    </row>
    <row r="70" spans="1:7" x14ac:dyDescent="0.25">
      <c r="A70" t="s">
        <v>99</v>
      </c>
      <c r="B70">
        <v>15</v>
      </c>
      <c r="C70">
        <f>RTD("tos.rtd", , "LAST", stocks[[#This Row],[Symbol]])</f>
        <v>88.73</v>
      </c>
      <c r="D70">
        <v>-1190.5999999999999</v>
      </c>
      <c r="E70" s="35">
        <f>IFERROR((stocks[[#This Row],[Current Price]]-stocks[[#This Row],[Avg Price]])*stocks[[#This Row],[Current Qty]],"")</f>
        <v>140.39999999999998</v>
      </c>
      <c r="F70">
        <v>79.37</v>
      </c>
      <c r="G70" s="14"/>
    </row>
  </sheetData>
  <mergeCells count="4">
    <mergeCell ref="A2:B2"/>
    <mergeCell ref="A1:B1"/>
    <mergeCell ref="I22:Q24"/>
    <mergeCell ref="I44:Q45"/>
  </mergeCells>
  <phoneticPr fontId="1" type="noConversion"/>
  <conditionalFormatting sqref="E5:E70">
    <cfRule type="colorScale" priority="18">
      <colorScale>
        <cfvo type="min"/>
        <cfvo type="num" val="0"/>
        <cfvo type="max"/>
        <color theme="8" tint="0.39997558519241921"/>
        <color theme="0"/>
        <color theme="6" tint="0.39997558519241921"/>
      </colorScale>
    </cfRule>
  </conditionalFormatting>
  <conditionalFormatting sqref="G5:G70">
    <cfRule type="colorScale" priority="20">
      <colorScale>
        <cfvo type="min"/>
        <cfvo type="num" val="0"/>
        <cfvo type="max"/>
        <color theme="8" tint="0.39997558519241921"/>
        <color rgb="FFFFEB84"/>
        <color theme="6" tint="0.39997558519241921"/>
      </colorScale>
    </cfRule>
  </conditionalFormatting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B2B14-6092-4030-AE13-7D1941AD7C32}">
  <sheetPr codeName="Sheet4"/>
  <dimension ref="A1:DK75"/>
  <sheetViews>
    <sheetView zoomScale="120" zoomScaleNormal="120" workbookViewId="0">
      <pane ySplit="4" topLeftCell="A5" activePane="bottomLeft" state="frozen"/>
      <selection pane="bottomLeft" activeCell="K20" sqref="K20"/>
    </sheetView>
  </sheetViews>
  <sheetFormatPr defaultRowHeight="15" x14ac:dyDescent="0.25"/>
  <cols>
    <col min="1" max="1" width="22.85546875" bestFit="1" customWidth="1"/>
    <col min="2" max="2" width="9" bestFit="1" customWidth="1"/>
    <col min="3" max="3" width="15.140625" bestFit="1" customWidth="1"/>
    <col min="4" max="4" width="13.28515625" bestFit="1" customWidth="1"/>
    <col min="5" max="5" width="13.85546875" bestFit="1" customWidth="1"/>
    <col min="6" max="6" width="8.7109375" bestFit="1" customWidth="1"/>
    <col min="7" max="7" width="11.7109375" bestFit="1" customWidth="1"/>
    <col min="8" max="8" width="11.7109375" customWidth="1"/>
    <col min="9" max="9" width="13.42578125" bestFit="1" customWidth="1"/>
    <col min="10" max="11" width="12" bestFit="1" customWidth="1"/>
    <col min="12" max="12" width="14.42578125" bestFit="1" customWidth="1"/>
    <col min="13" max="13" width="14.28515625" bestFit="1" customWidth="1"/>
    <col min="14" max="14" width="16.42578125" bestFit="1" customWidth="1"/>
    <col min="15" max="16" width="15.42578125" bestFit="1" customWidth="1"/>
    <col min="17" max="17" width="16.42578125" bestFit="1" customWidth="1"/>
    <col min="18" max="19" width="15.42578125" bestFit="1" customWidth="1"/>
    <col min="20" max="20" width="16.42578125" bestFit="1" customWidth="1"/>
    <col min="21" max="21" width="15.42578125" bestFit="1" customWidth="1"/>
    <col min="22" max="27" width="13.140625" bestFit="1" customWidth="1"/>
    <col min="28" max="29" width="14.28515625" bestFit="1" customWidth="1"/>
    <col min="30" max="31" width="15.42578125" bestFit="1" customWidth="1"/>
    <col min="32" max="32" width="14.28515625" bestFit="1" customWidth="1"/>
    <col min="33" max="33" width="13.140625" bestFit="1" customWidth="1"/>
    <col min="34" max="37" width="14.28515625" bestFit="1" customWidth="1"/>
    <col min="38" max="40" width="15.42578125" bestFit="1" customWidth="1"/>
    <col min="41" max="45" width="14.28515625" bestFit="1" customWidth="1"/>
    <col min="46" max="46" width="13.140625" bestFit="1" customWidth="1"/>
    <col min="47" max="48" width="14.28515625" bestFit="1" customWidth="1"/>
    <col min="49" max="61" width="13.140625" bestFit="1" customWidth="1"/>
    <col min="62" max="63" width="14.28515625" bestFit="1" customWidth="1"/>
    <col min="64" max="64" width="13.140625" bestFit="1" customWidth="1"/>
    <col min="65" max="66" width="14.28515625" bestFit="1" customWidth="1"/>
    <col min="67" max="72" width="15.42578125" bestFit="1" customWidth="1"/>
    <col min="73" max="74" width="14.28515625" bestFit="1" customWidth="1"/>
    <col min="75" max="75" width="15.42578125" bestFit="1" customWidth="1"/>
    <col min="76" max="83" width="13.140625" bestFit="1" customWidth="1"/>
    <col min="84" max="84" width="14.28515625" bestFit="1" customWidth="1"/>
    <col min="85" max="85" width="13.140625" bestFit="1" customWidth="1"/>
    <col min="86" max="89" width="14.28515625" bestFit="1" customWidth="1"/>
    <col min="90" max="95" width="13.140625" bestFit="1" customWidth="1"/>
    <col min="96" max="98" width="14.28515625" bestFit="1" customWidth="1"/>
    <col min="99" max="110" width="13.140625" bestFit="1" customWidth="1"/>
    <col min="111" max="114" width="14.28515625" bestFit="1" customWidth="1"/>
    <col min="115" max="115" width="11.28515625" bestFit="1" customWidth="1"/>
    <col min="116" max="116" width="4.28515625" bestFit="1" customWidth="1"/>
    <col min="117" max="118" width="7.5703125" bestFit="1" customWidth="1"/>
    <col min="119" max="120" width="6.42578125" bestFit="1" customWidth="1"/>
    <col min="121" max="122" width="7.5703125" bestFit="1" customWidth="1"/>
    <col min="123" max="123" width="11.85546875" bestFit="1" customWidth="1"/>
  </cols>
  <sheetData>
    <row r="1" spans="1:115" ht="15.75" thickBot="1" x14ac:dyDescent="0.3">
      <c r="A1" s="16" t="s">
        <v>21</v>
      </c>
      <c r="B1" s="15">
        <f>COUNTA(stocks[Symbol])</f>
        <v>66</v>
      </c>
      <c r="D1" s="51" t="s">
        <v>28</v>
      </c>
      <c r="E1" s="49">
        <f>GETPIVOTDATA("[Measures].[Sum of Capital or Gain]",$I$4)</f>
        <v>-53069.796000000009</v>
      </c>
      <c r="G1" s="27"/>
    </row>
    <row r="2" spans="1:115" ht="15.75" thickBot="1" x14ac:dyDescent="0.3">
      <c r="A2" s="16" t="s">
        <v>22</v>
      </c>
      <c r="B2" s="15">
        <f>COUNTA(trades[Exec Time])</f>
        <v>136</v>
      </c>
      <c r="D2" s="52"/>
      <c r="E2" s="50"/>
    </row>
    <row r="4" spans="1:115" s="7" customFormat="1" x14ac:dyDescent="0.25">
      <c r="A4" s="5" t="s">
        <v>6</v>
      </c>
      <c r="B4" s="6" t="s">
        <v>16</v>
      </c>
      <c r="C4" s="12" t="s">
        <v>34</v>
      </c>
      <c r="D4" s="12" t="s">
        <v>25</v>
      </c>
      <c r="E4" s="12" t="s">
        <v>107</v>
      </c>
      <c r="F4" s="12" t="s">
        <v>33</v>
      </c>
      <c r="G4" s="6" t="s">
        <v>26</v>
      </c>
      <c r="I4" s="13" t="s">
        <v>6</v>
      </c>
      <c r="J4" t="s">
        <v>22</v>
      </c>
      <c r="K4" t="s">
        <v>21</v>
      </c>
      <c r="L4" t="s">
        <v>106</v>
      </c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x14ac:dyDescent="0.25">
      <c r="A5" s="3" t="s">
        <v>35</v>
      </c>
      <c r="B5" s="26">
        <v>830</v>
      </c>
      <c r="C5" s="25">
        <v>2.4900000000000002</v>
      </c>
      <c r="D5" s="25">
        <v>2.398963855421687</v>
      </c>
      <c r="E5" s="25">
        <v>-1991.14</v>
      </c>
      <c r="F5" s="25">
        <v>415.85999999999973</v>
      </c>
      <c r="G5" s="25">
        <v>0</v>
      </c>
      <c r="I5" s="11" t="s">
        <v>100</v>
      </c>
      <c r="J5" s="20">
        <v>12</v>
      </c>
      <c r="K5" s="20">
        <v>9</v>
      </c>
      <c r="L5" s="14">
        <v>-3415.7840000000001</v>
      </c>
    </row>
    <row r="6" spans="1:115" x14ac:dyDescent="0.25">
      <c r="A6" s="3" t="s">
        <v>36</v>
      </c>
      <c r="B6" s="26">
        <v>5</v>
      </c>
      <c r="C6" s="25">
        <v>80</v>
      </c>
      <c r="D6" s="25">
        <v>80</v>
      </c>
      <c r="E6" s="25">
        <v>-400</v>
      </c>
      <c r="F6" s="25">
        <v>21.850000000000023</v>
      </c>
      <c r="G6" s="25">
        <v>0</v>
      </c>
      <c r="I6" s="11" t="s">
        <v>23</v>
      </c>
      <c r="J6" s="20">
        <v>123</v>
      </c>
      <c r="K6" s="20">
        <v>62</v>
      </c>
      <c r="L6" s="14">
        <v>-50495.512000000002</v>
      </c>
    </row>
    <row r="7" spans="1:115" x14ac:dyDescent="0.25">
      <c r="A7" s="3" t="s">
        <v>37</v>
      </c>
      <c r="B7" s="26">
        <v>5</v>
      </c>
      <c r="C7" s="25">
        <v>249.13</v>
      </c>
      <c r="D7" s="25">
        <v>249.13000000000002</v>
      </c>
      <c r="E7" s="25">
        <v>-1245.6500000000001</v>
      </c>
      <c r="F7" s="25">
        <v>-39.60000000000008</v>
      </c>
      <c r="G7" s="25">
        <v>0</v>
      </c>
      <c r="I7" s="11" t="s">
        <v>114</v>
      </c>
      <c r="J7" s="20">
        <v>1</v>
      </c>
      <c r="K7" s="20">
        <v>1</v>
      </c>
      <c r="L7" s="14">
        <v>841.5</v>
      </c>
    </row>
    <row r="8" spans="1:115" x14ac:dyDescent="0.25">
      <c r="A8" s="3" t="s">
        <v>38</v>
      </c>
      <c r="B8" s="26">
        <v>50</v>
      </c>
      <c r="C8" s="25">
        <v>10.42</v>
      </c>
      <c r="D8" s="25">
        <v>10.42</v>
      </c>
      <c r="E8" s="25">
        <v>-521</v>
      </c>
      <c r="F8" s="25">
        <v>680</v>
      </c>
      <c r="G8" s="25">
        <v>0</v>
      </c>
      <c r="I8" s="11" t="s">
        <v>24</v>
      </c>
      <c r="J8" s="20">
        <v>136</v>
      </c>
      <c r="K8" s="20">
        <v>66</v>
      </c>
      <c r="L8" s="14">
        <v>-53069.796000000009</v>
      </c>
    </row>
    <row r="9" spans="1:115" x14ac:dyDescent="0.25">
      <c r="A9" s="3" t="s">
        <v>39</v>
      </c>
      <c r="B9" s="26">
        <v>375</v>
      </c>
      <c r="C9" s="25">
        <v>1.33</v>
      </c>
      <c r="D9" s="25">
        <v>1.33</v>
      </c>
      <c r="E9" s="25">
        <v>-498.75</v>
      </c>
      <c r="F9" s="25">
        <v>-125.60625000000003</v>
      </c>
      <c r="G9" s="25">
        <v>0</v>
      </c>
      <c r="L9" t="s">
        <v>102</v>
      </c>
    </row>
    <row r="10" spans="1:115" x14ac:dyDescent="0.25">
      <c r="A10" s="3" t="s">
        <v>40</v>
      </c>
      <c r="B10" s="26">
        <v>10</v>
      </c>
      <c r="C10" s="25">
        <v>38.950000000000003</v>
      </c>
      <c r="D10" s="25">
        <v>38.950000000000003</v>
      </c>
      <c r="E10" s="25">
        <v>-389.5</v>
      </c>
      <c r="F10" s="25">
        <v>201.1</v>
      </c>
      <c r="G10" s="25">
        <v>0</v>
      </c>
    </row>
    <row r="11" spans="1:115" x14ac:dyDescent="0.25">
      <c r="A11" s="3" t="s">
        <v>41</v>
      </c>
      <c r="B11" s="26">
        <v>20</v>
      </c>
      <c r="C11" s="25">
        <v>70</v>
      </c>
      <c r="D11" s="25">
        <v>61.995000000000005</v>
      </c>
      <c r="E11" s="25">
        <v>-1239.9000000000001</v>
      </c>
      <c r="F11" s="25">
        <v>157.89999999999992</v>
      </c>
      <c r="G11" s="25">
        <v>0</v>
      </c>
    </row>
    <row r="12" spans="1:115" x14ac:dyDescent="0.25">
      <c r="A12" s="3" t="s">
        <v>42</v>
      </c>
      <c r="B12" s="26">
        <v>5</v>
      </c>
      <c r="C12" s="25">
        <v>70.62</v>
      </c>
      <c r="D12" s="25">
        <v>70.62</v>
      </c>
      <c r="E12" s="25">
        <v>-353.1</v>
      </c>
      <c r="F12" s="25">
        <v>568.5</v>
      </c>
      <c r="G12" s="25">
        <v>0</v>
      </c>
    </row>
    <row r="13" spans="1:115" x14ac:dyDescent="0.25">
      <c r="A13" s="3" t="s">
        <v>43</v>
      </c>
      <c r="B13" s="26">
        <v>75</v>
      </c>
      <c r="C13" s="25">
        <v>20.23</v>
      </c>
      <c r="D13" s="25">
        <v>16.690000000000001</v>
      </c>
      <c r="E13" s="25">
        <v>-1251.75</v>
      </c>
      <c r="F13" s="25">
        <v>1390.4999999999998</v>
      </c>
      <c r="G13" s="25">
        <v>0</v>
      </c>
    </row>
    <row r="14" spans="1:115" x14ac:dyDescent="0.25">
      <c r="A14" s="3" t="s">
        <v>44</v>
      </c>
      <c r="B14" s="26">
        <v>5</v>
      </c>
      <c r="C14" s="25">
        <v>69.83</v>
      </c>
      <c r="D14" s="25">
        <v>69.83</v>
      </c>
      <c r="E14" s="25">
        <v>-349.15</v>
      </c>
      <c r="F14" s="25">
        <v>65.850000000000009</v>
      </c>
      <c r="G14" s="25">
        <v>0</v>
      </c>
    </row>
    <row r="15" spans="1:115" x14ac:dyDescent="0.25">
      <c r="A15" s="3" t="s">
        <v>45</v>
      </c>
      <c r="B15" s="26">
        <v>0</v>
      </c>
      <c r="C15" s="25">
        <v>17.9404</v>
      </c>
      <c r="D15" s="25">
        <v>0</v>
      </c>
      <c r="E15" s="25">
        <v>217.61599999999999</v>
      </c>
      <c r="F15" s="25">
        <v>0</v>
      </c>
      <c r="G15" s="25">
        <v>717.61599999999999</v>
      </c>
    </row>
    <row r="16" spans="1:115" x14ac:dyDescent="0.25">
      <c r="A16" s="3" t="s">
        <v>46</v>
      </c>
      <c r="B16" s="26">
        <v>25</v>
      </c>
      <c r="C16" s="25">
        <v>19</v>
      </c>
      <c r="D16" s="25">
        <v>19</v>
      </c>
      <c r="E16" s="25">
        <v>-475</v>
      </c>
      <c r="F16" s="25">
        <v>-199.00000000000003</v>
      </c>
      <c r="G16" s="25">
        <v>0</v>
      </c>
    </row>
    <row r="17" spans="1:7" x14ac:dyDescent="0.25">
      <c r="A17" s="3" t="s">
        <v>47</v>
      </c>
      <c r="B17" s="26">
        <v>10</v>
      </c>
      <c r="C17" s="25">
        <v>107.5</v>
      </c>
      <c r="D17" s="25">
        <v>98.75</v>
      </c>
      <c r="E17" s="25">
        <v>-987.5</v>
      </c>
      <c r="F17" s="25">
        <v>-13.299999999999983</v>
      </c>
      <c r="G17" s="25">
        <v>0</v>
      </c>
    </row>
    <row r="18" spans="1:7" x14ac:dyDescent="0.25">
      <c r="A18" s="3" t="s">
        <v>48</v>
      </c>
      <c r="B18" s="26">
        <v>15</v>
      </c>
      <c r="C18" s="25">
        <v>33.33</v>
      </c>
      <c r="D18" s="25">
        <v>33.33</v>
      </c>
      <c r="E18" s="25">
        <v>-499.95</v>
      </c>
      <c r="F18" s="25">
        <v>-89.249999999999986</v>
      </c>
      <c r="G18" s="25">
        <v>0</v>
      </c>
    </row>
    <row r="19" spans="1:7" x14ac:dyDescent="0.25">
      <c r="A19" s="3" t="s">
        <v>49</v>
      </c>
      <c r="B19" s="26">
        <v>5</v>
      </c>
      <c r="C19" s="25">
        <v>74</v>
      </c>
      <c r="D19" s="25">
        <v>74</v>
      </c>
      <c r="E19" s="25">
        <v>-370</v>
      </c>
      <c r="F19" s="25">
        <v>83.800000000000026</v>
      </c>
      <c r="G19" s="25">
        <v>0</v>
      </c>
    </row>
    <row r="20" spans="1:7" x14ac:dyDescent="0.25">
      <c r="A20" s="3" t="s">
        <v>50</v>
      </c>
      <c r="B20" s="26">
        <v>5</v>
      </c>
      <c r="C20" s="25">
        <v>89.69</v>
      </c>
      <c r="D20" s="25">
        <v>89.69</v>
      </c>
      <c r="E20" s="25">
        <v>-448.45</v>
      </c>
      <c r="F20" s="25">
        <v>76.099999999999994</v>
      </c>
      <c r="G20" s="25">
        <v>0</v>
      </c>
    </row>
    <row r="21" spans="1:7" x14ac:dyDescent="0.25">
      <c r="A21" s="3" t="s">
        <v>51</v>
      </c>
      <c r="B21" s="26">
        <v>5</v>
      </c>
      <c r="C21" s="25">
        <v>100</v>
      </c>
      <c r="D21" s="25">
        <v>100</v>
      </c>
      <c r="E21" s="25">
        <v>-500</v>
      </c>
      <c r="F21" s="25">
        <v>122.89999999999999</v>
      </c>
      <c r="G21" s="25">
        <v>0</v>
      </c>
    </row>
    <row r="22" spans="1:7" x14ac:dyDescent="0.25">
      <c r="A22" s="3" t="s">
        <v>52</v>
      </c>
      <c r="B22" s="26">
        <v>25</v>
      </c>
      <c r="C22" s="25">
        <v>80.97</v>
      </c>
      <c r="D22" s="25">
        <v>75.804000000000002</v>
      </c>
      <c r="E22" s="25">
        <v>-1895.1000000000001</v>
      </c>
      <c r="F22" s="25">
        <v>-32.600000000000051</v>
      </c>
      <c r="G22" s="25">
        <v>0</v>
      </c>
    </row>
    <row r="23" spans="1:7" x14ac:dyDescent="0.25">
      <c r="A23" s="3" t="s">
        <v>53</v>
      </c>
      <c r="B23" s="26">
        <v>45</v>
      </c>
      <c r="C23" s="25">
        <v>10.84</v>
      </c>
      <c r="D23" s="25">
        <v>10.84</v>
      </c>
      <c r="E23" s="25">
        <v>-487.8</v>
      </c>
      <c r="F23" s="25">
        <v>409.95</v>
      </c>
      <c r="G23" s="25">
        <v>0</v>
      </c>
    </row>
    <row r="24" spans="1:7" x14ac:dyDescent="0.25">
      <c r="A24" s="3" t="s">
        <v>54</v>
      </c>
      <c r="B24" s="26">
        <v>50</v>
      </c>
      <c r="C24" s="25">
        <v>10.050000000000001</v>
      </c>
      <c r="D24" s="25">
        <v>10.050000000000001</v>
      </c>
      <c r="E24" s="25">
        <v>-502.50000000000006</v>
      </c>
      <c r="F24" s="25">
        <v>-74.000000000000028</v>
      </c>
      <c r="G24" s="25">
        <v>0</v>
      </c>
    </row>
    <row r="25" spans="1:7" x14ac:dyDescent="0.25">
      <c r="A25" s="3" t="s">
        <v>55</v>
      </c>
      <c r="B25" s="26">
        <v>10</v>
      </c>
      <c r="C25" s="25">
        <v>91.76</v>
      </c>
      <c r="D25" s="25">
        <v>88.13</v>
      </c>
      <c r="E25" s="25">
        <v>-881.3</v>
      </c>
      <c r="F25" s="25">
        <v>-141.1</v>
      </c>
      <c r="G25" s="25">
        <v>0</v>
      </c>
    </row>
    <row r="26" spans="1:7" x14ac:dyDescent="0.25">
      <c r="A26" s="3" t="s">
        <v>56</v>
      </c>
      <c r="B26" s="26">
        <v>10</v>
      </c>
      <c r="C26" s="25">
        <v>44.5</v>
      </c>
      <c r="D26" s="25">
        <v>44.5</v>
      </c>
      <c r="E26" s="25">
        <v>-445</v>
      </c>
      <c r="F26" s="25">
        <v>82.999999999999972</v>
      </c>
      <c r="G26" s="25">
        <v>0</v>
      </c>
    </row>
    <row r="27" spans="1:7" x14ac:dyDescent="0.25">
      <c r="A27" s="3" t="s">
        <v>57</v>
      </c>
      <c r="B27" s="26">
        <v>60</v>
      </c>
      <c r="C27" s="25">
        <v>8.36</v>
      </c>
      <c r="D27" s="25">
        <v>8.3600000000000012</v>
      </c>
      <c r="E27" s="25">
        <v>-501.6</v>
      </c>
      <c r="F27" s="25">
        <v>-200.40000000000009</v>
      </c>
      <c r="G27" s="25">
        <v>0</v>
      </c>
    </row>
    <row r="28" spans="1:7" x14ac:dyDescent="0.25">
      <c r="A28" s="3" t="s">
        <v>58</v>
      </c>
      <c r="B28" s="26">
        <v>10</v>
      </c>
      <c r="C28" s="25">
        <v>41.15</v>
      </c>
      <c r="D28" s="25">
        <v>41.15</v>
      </c>
      <c r="E28" s="25">
        <v>-411.5</v>
      </c>
      <c r="F28" s="25">
        <v>-21.799999999999997</v>
      </c>
      <c r="G28" s="25">
        <v>0</v>
      </c>
    </row>
    <row r="29" spans="1:7" x14ac:dyDescent="0.25">
      <c r="A29" s="3" t="s">
        <v>59</v>
      </c>
      <c r="B29" s="26">
        <v>20</v>
      </c>
      <c r="C29" s="25">
        <v>96.75</v>
      </c>
      <c r="D29" s="25">
        <v>94.537499999999994</v>
      </c>
      <c r="E29" s="25">
        <v>-1890.75</v>
      </c>
      <c r="F29" s="25">
        <v>-297.74999999999977</v>
      </c>
      <c r="G29" s="25">
        <v>0</v>
      </c>
    </row>
    <row r="30" spans="1:7" x14ac:dyDescent="0.25">
      <c r="A30" s="3" t="s">
        <v>60</v>
      </c>
      <c r="B30" s="26">
        <v>90</v>
      </c>
      <c r="C30" s="25">
        <v>29.04</v>
      </c>
      <c r="D30" s="25">
        <v>26.40444444444444</v>
      </c>
      <c r="E30" s="25">
        <v>-2376.3999999999996</v>
      </c>
      <c r="F30" s="25">
        <v>323.60000000000036</v>
      </c>
      <c r="G30" s="25">
        <v>0</v>
      </c>
    </row>
    <row r="31" spans="1:7" x14ac:dyDescent="0.25">
      <c r="A31" s="3" t="s">
        <v>61</v>
      </c>
      <c r="B31" s="26">
        <v>45</v>
      </c>
      <c r="C31" s="25">
        <v>25.79</v>
      </c>
      <c r="D31" s="25">
        <v>22.228888888888889</v>
      </c>
      <c r="E31" s="25">
        <v>-1000.3</v>
      </c>
      <c r="F31" s="25">
        <v>486.05000000000007</v>
      </c>
      <c r="G31" s="25">
        <v>0</v>
      </c>
    </row>
    <row r="32" spans="1:7" x14ac:dyDescent="0.25">
      <c r="A32" s="3" t="s">
        <v>62</v>
      </c>
      <c r="B32" s="26">
        <v>45</v>
      </c>
      <c r="C32" s="25">
        <v>23.26</v>
      </c>
      <c r="D32" s="25">
        <v>22.004444444444445</v>
      </c>
      <c r="E32" s="25">
        <v>-990.2</v>
      </c>
      <c r="F32" s="25">
        <v>692.35</v>
      </c>
      <c r="G32" s="25">
        <v>0</v>
      </c>
    </row>
    <row r="33" spans="1:7" x14ac:dyDescent="0.25">
      <c r="A33" s="3" t="s">
        <v>63</v>
      </c>
      <c r="B33" s="26">
        <v>575</v>
      </c>
      <c r="C33" s="25">
        <v>6.11</v>
      </c>
      <c r="D33" s="25">
        <v>5.1386556521739131</v>
      </c>
      <c r="E33" s="25">
        <v>-2954.7269999999999</v>
      </c>
      <c r="F33" s="25">
        <v>610.27300000000014</v>
      </c>
      <c r="G33" s="25">
        <v>0</v>
      </c>
    </row>
    <row r="34" spans="1:7" x14ac:dyDescent="0.25">
      <c r="A34" s="3" t="s">
        <v>64</v>
      </c>
      <c r="B34" s="26">
        <v>75</v>
      </c>
      <c r="C34" s="25">
        <v>21</v>
      </c>
      <c r="D34" s="25">
        <v>19.813333333333333</v>
      </c>
      <c r="E34" s="25">
        <v>-1486</v>
      </c>
      <c r="F34" s="25">
        <v>603.5</v>
      </c>
      <c r="G34" s="25">
        <v>0</v>
      </c>
    </row>
    <row r="35" spans="1:7" x14ac:dyDescent="0.25">
      <c r="A35" s="3" t="s">
        <v>65</v>
      </c>
      <c r="B35" s="26">
        <v>10</v>
      </c>
      <c r="C35" s="25">
        <v>46</v>
      </c>
      <c r="D35" s="25">
        <v>46</v>
      </c>
      <c r="E35" s="25">
        <v>-460</v>
      </c>
      <c r="F35" s="25">
        <v>28.699999999999974</v>
      </c>
      <c r="G35" s="25">
        <v>0</v>
      </c>
    </row>
    <row r="36" spans="1:7" x14ac:dyDescent="0.25">
      <c r="A36" s="3" t="s">
        <v>66</v>
      </c>
      <c r="B36" s="26">
        <v>5</v>
      </c>
      <c r="C36" s="25">
        <v>92</v>
      </c>
      <c r="D36" s="25">
        <v>92</v>
      </c>
      <c r="E36" s="25">
        <v>-460</v>
      </c>
      <c r="F36" s="25">
        <v>79.3</v>
      </c>
      <c r="G36" s="25">
        <v>0</v>
      </c>
    </row>
    <row r="37" spans="1:7" x14ac:dyDescent="0.25">
      <c r="A37" s="3" t="s">
        <v>67</v>
      </c>
      <c r="B37" s="26">
        <v>135</v>
      </c>
      <c r="C37" s="25">
        <v>3.47</v>
      </c>
      <c r="D37" s="25">
        <v>3.47</v>
      </c>
      <c r="E37" s="25">
        <v>-468.45000000000005</v>
      </c>
      <c r="F37" s="25">
        <v>-103.95</v>
      </c>
      <c r="G37" s="25">
        <v>0</v>
      </c>
    </row>
    <row r="38" spans="1:7" x14ac:dyDescent="0.25">
      <c r="A38" s="3" t="s">
        <v>68</v>
      </c>
      <c r="B38" s="26">
        <v>30</v>
      </c>
      <c r="C38" s="25">
        <v>16</v>
      </c>
      <c r="D38" s="25">
        <v>16</v>
      </c>
      <c r="E38" s="25">
        <v>-480</v>
      </c>
      <c r="F38" s="25">
        <v>155.70000000000005</v>
      </c>
      <c r="G38" s="25">
        <v>0</v>
      </c>
    </row>
    <row r="39" spans="1:7" x14ac:dyDescent="0.25">
      <c r="A39" s="3" t="s">
        <v>69</v>
      </c>
      <c r="B39" s="26">
        <v>65</v>
      </c>
      <c r="C39" s="25">
        <v>7.18</v>
      </c>
      <c r="D39" s="25">
        <v>7.1799999999999988</v>
      </c>
      <c r="E39" s="25">
        <v>-466.69999999999993</v>
      </c>
      <c r="F39" s="25">
        <v>-44.849999999999909</v>
      </c>
      <c r="G39" s="25">
        <v>0</v>
      </c>
    </row>
    <row r="40" spans="1:7" x14ac:dyDescent="0.25">
      <c r="A40" s="3" t="s">
        <v>70</v>
      </c>
      <c r="B40" s="26">
        <v>25</v>
      </c>
      <c r="C40" s="25">
        <v>39</v>
      </c>
      <c r="D40" s="25">
        <v>35.4</v>
      </c>
      <c r="E40" s="25">
        <v>-885</v>
      </c>
      <c r="F40" s="25">
        <v>83</v>
      </c>
      <c r="G40" s="25">
        <v>0</v>
      </c>
    </row>
    <row r="41" spans="1:7" x14ac:dyDescent="0.25">
      <c r="A41" s="3" t="s">
        <v>71</v>
      </c>
      <c r="B41" s="26">
        <v>5</v>
      </c>
      <c r="C41" s="25">
        <v>78.34</v>
      </c>
      <c r="D41" s="25">
        <v>78.34</v>
      </c>
      <c r="E41" s="25">
        <v>-391.70000000000005</v>
      </c>
      <c r="F41" s="25">
        <v>207.54999999999995</v>
      </c>
      <c r="G41" s="25">
        <v>0</v>
      </c>
    </row>
    <row r="42" spans="1:7" x14ac:dyDescent="0.25">
      <c r="A42" s="3" t="s">
        <v>72</v>
      </c>
      <c r="B42" s="26">
        <v>20</v>
      </c>
      <c r="C42" s="25">
        <v>42</v>
      </c>
      <c r="D42" s="25">
        <v>42</v>
      </c>
      <c r="E42" s="25">
        <v>-840</v>
      </c>
      <c r="F42" s="25">
        <v>348.6</v>
      </c>
      <c r="G42" s="25">
        <v>0</v>
      </c>
    </row>
    <row r="43" spans="1:7" x14ac:dyDescent="0.25">
      <c r="A43" s="3" t="s">
        <v>73</v>
      </c>
      <c r="B43" s="26">
        <v>25</v>
      </c>
      <c r="C43" s="25">
        <v>36.619999999999997</v>
      </c>
      <c r="D43" s="25">
        <v>34.646000000000001</v>
      </c>
      <c r="E43" s="25">
        <v>-866.15</v>
      </c>
      <c r="F43" s="25">
        <v>236.59999999999997</v>
      </c>
      <c r="G43" s="25">
        <v>0</v>
      </c>
    </row>
    <row r="44" spans="1:7" x14ac:dyDescent="0.25">
      <c r="A44" s="3" t="s">
        <v>74</v>
      </c>
      <c r="B44" s="26">
        <v>10</v>
      </c>
      <c r="C44" s="25">
        <v>134.49</v>
      </c>
      <c r="D44" s="25">
        <v>115.245</v>
      </c>
      <c r="E44" s="25">
        <v>-1152.45</v>
      </c>
      <c r="F44" s="25">
        <v>-119.25000000000011</v>
      </c>
      <c r="G44" s="25">
        <v>0</v>
      </c>
    </row>
    <row r="45" spans="1:7" x14ac:dyDescent="0.25">
      <c r="A45" s="3" t="s">
        <v>75</v>
      </c>
      <c r="B45" s="26">
        <v>10</v>
      </c>
      <c r="C45" s="25">
        <v>60.98</v>
      </c>
      <c r="D45" s="25">
        <v>57.739999999999995</v>
      </c>
      <c r="E45" s="25">
        <v>-577.4</v>
      </c>
      <c r="F45" s="25">
        <v>241.1</v>
      </c>
      <c r="G45" s="25">
        <v>0</v>
      </c>
    </row>
    <row r="46" spans="1:7" x14ac:dyDescent="0.25">
      <c r="A46" s="3" t="s">
        <v>76</v>
      </c>
      <c r="B46" s="26">
        <v>10</v>
      </c>
      <c r="C46" s="25">
        <v>132.53</v>
      </c>
      <c r="D46" s="25">
        <v>115.28</v>
      </c>
      <c r="E46" s="25">
        <v>-1152.8</v>
      </c>
      <c r="F46" s="25">
        <v>151.80000000000007</v>
      </c>
      <c r="G46" s="25">
        <v>0</v>
      </c>
    </row>
    <row r="47" spans="1:7" x14ac:dyDescent="0.25">
      <c r="A47" s="3" t="s">
        <v>77</v>
      </c>
      <c r="B47" s="26">
        <v>10</v>
      </c>
      <c r="C47" s="25">
        <v>42.14</v>
      </c>
      <c r="D47" s="25">
        <v>42.14</v>
      </c>
      <c r="E47" s="25">
        <v>-421.4</v>
      </c>
      <c r="F47" s="25">
        <v>125.89999999999996</v>
      </c>
      <c r="G47" s="25">
        <v>0</v>
      </c>
    </row>
    <row r="48" spans="1:7" x14ac:dyDescent="0.25">
      <c r="A48" s="3" t="s">
        <v>78</v>
      </c>
      <c r="B48" s="26">
        <v>140</v>
      </c>
      <c r="C48" s="25">
        <v>10.805</v>
      </c>
      <c r="D48" s="25">
        <v>10.449107142857143</v>
      </c>
      <c r="E48" s="25">
        <v>-1462.875</v>
      </c>
      <c r="F48" s="25">
        <v>-208.47499999999985</v>
      </c>
      <c r="G48" s="25">
        <v>0</v>
      </c>
    </row>
    <row r="49" spans="1:7" x14ac:dyDescent="0.25">
      <c r="A49" s="3" t="s">
        <v>79</v>
      </c>
      <c r="B49" s="26">
        <v>75</v>
      </c>
      <c r="C49" s="25">
        <v>20</v>
      </c>
      <c r="D49" s="25">
        <v>19</v>
      </c>
      <c r="E49" s="25">
        <v>-1425</v>
      </c>
      <c r="F49" s="25">
        <v>54.750000000000028</v>
      </c>
      <c r="G49" s="25">
        <v>0</v>
      </c>
    </row>
    <row r="50" spans="1:7" x14ac:dyDescent="0.25">
      <c r="A50" s="3" t="s">
        <v>80</v>
      </c>
      <c r="B50" s="26">
        <v>20</v>
      </c>
      <c r="C50" s="25">
        <v>22.52</v>
      </c>
      <c r="D50" s="25">
        <v>22.52</v>
      </c>
      <c r="E50" s="25">
        <v>-450.4</v>
      </c>
      <c r="F50" s="25">
        <v>31.600000000000037</v>
      </c>
      <c r="G50" s="25">
        <v>0</v>
      </c>
    </row>
    <row r="51" spans="1:7" x14ac:dyDescent="0.25">
      <c r="A51" s="3" t="s">
        <v>81</v>
      </c>
      <c r="B51" s="26">
        <v>30</v>
      </c>
      <c r="C51" s="25">
        <v>11.8</v>
      </c>
      <c r="D51" s="25">
        <v>11.8</v>
      </c>
      <c r="E51" s="25">
        <v>-354</v>
      </c>
      <c r="F51" s="25">
        <v>35.999999999999979</v>
      </c>
      <c r="G51" s="25">
        <v>0</v>
      </c>
    </row>
    <row r="52" spans="1:7" x14ac:dyDescent="0.25">
      <c r="A52" s="3" t="s">
        <v>82</v>
      </c>
      <c r="B52" s="26">
        <v>30</v>
      </c>
      <c r="C52" s="25">
        <v>17</v>
      </c>
      <c r="D52" s="25">
        <v>17</v>
      </c>
      <c r="E52" s="25">
        <v>-510</v>
      </c>
      <c r="F52" s="25">
        <v>-321.59999999999997</v>
      </c>
      <c r="G52" s="25">
        <v>0</v>
      </c>
    </row>
    <row r="53" spans="1:7" x14ac:dyDescent="0.25">
      <c r="A53" s="3" t="s">
        <v>83</v>
      </c>
      <c r="B53" s="26">
        <v>10</v>
      </c>
      <c r="C53" s="25">
        <v>35.5</v>
      </c>
      <c r="D53" s="25">
        <v>35.5</v>
      </c>
      <c r="E53" s="25">
        <v>-355</v>
      </c>
      <c r="F53" s="25">
        <v>438</v>
      </c>
      <c r="G53" s="25">
        <v>0</v>
      </c>
    </row>
    <row r="54" spans="1:7" x14ac:dyDescent="0.25">
      <c r="A54" s="3" t="s">
        <v>84</v>
      </c>
      <c r="B54" s="26">
        <v>10</v>
      </c>
      <c r="C54" s="25">
        <v>39.99</v>
      </c>
      <c r="D54" s="25">
        <v>39.99</v>
      </c>
      <c r="E54" s="25">
        <v>-399.90000000000003</v>
      </c>
      <c r="F54" s="25">
        <v>249.79999999999995</v>
      </c>
      <c r="G54" s="25">
        <v>0</v>
      </c>
    </row>
    <row r="55" spans="1:7" x14ac:dyDescent="0.25">
      <c r="A55" s="3" t="s">
        <v>85</v>
      </c>
      <c r="B55" s="26">
        <v>20</v>
      </c>
      <c r="C55" s="25">
        <v>41.42</v>
      </c>
      <c r="D55" s="25">
        <v>38.464999999999996</v>
      </c>
      <c r="E55" s="25">
        <v>-769.3</v>
      </c>
      <c r="F55" s="25">
        <v>299.90000000000009</v>
      </c>
      <c r="G55" s="25">
        <v>0</v>
      </c>
    </row>
    <row r="56" spans="1:7" x14ac:dyDescent="0.25">
      <c r="A56" s="3" t="s">
        <v>86</v>
      </c>
      <c r="B56" s="26">
        <v>175</v>
      </c>
      <c r="C56" s="25">
        <v>21.1</v>
      </c>
      <c r="D56" s="25">
        <v>17.355428571428572</v>
      </c>
      <c r="E56" s="25">
        <v>-3037.2</v>
      </c>
      <c r="F56" s="25">
        <v>254.5499999999997</v>
      </c>
      <c r="G56" s="25">
        <v>0</v>
      </c>
    </row>
    <row r="57" spans="1:7" x14ac:dyDescent="0.25">
      <c r="A57" s="3" t="s">
        <v>87</v>
      </c>
      <c r="B57" s="26">
        <v>5</v>
      </c>
      <c r="C57" s="25">
        <v>95.03</v>
      </c>
      <c r="D57" s="25">
        <v>95.03</v>
      </c>
      <c r="E57" s="25">
        <v>-475.15</v>
      </c>
      <c r="F57" s="25">
        <v>81.34999999999998</v>
      </c>
      <c r="G57" s="25">
        <v>0</v>
      </c>
    </row>
    <row r="58" spans="1:7" x14ac:dyDescent="0.25">
      <c r="A58" s="3" t="s">
        <v>88</v>
      </c>
      <c r="B58" s="26">
        <v>15</v>
      </c>
      <c r="C58" s="25">
        <v>66.14</v>
      </c>
      <c r="D58" s="25">
        <v>65.206666666666678</v>
      </c>
      <c r="E58" s="25">
        <v>-978.10000000000014</v>
      </c>
      <c r="F58" s="25">
        <v>-24.550000000000161</v>
      </c>
      <c r="G58" s="25">
        <v>0</v>
      </c>
    </row>
    <row r="59" spans="1:7" x14ac:dyDescent="0.25">
      <c r="A59" s="3" t="s">
        <v>89</v>
      </c>
      <c r="B59" s="26">
        <v>70</v>
      </c>
      <c r="C59" s="25">
        <v>6.85</v>
      </c>
      <c r="D59" s="25">
        <v>6.85</v>
      </c>
      <c r="E59" s="25">
        <v>-479.5</v>
      </c>
      <c r="F59" s="25">
        <v>-74.899999999999963</v>
      </c>
      <c r="G59" s="25">
        <v>0</v>
      </c>
    </row>
    <row r="60" spans="1:7" x14ac:dyDescent="0.25">
      <c r="A60" s="3" t="s">
        <v>90</v>
      </c>
      <c r="B60" s="26">
        <v>5</v>
      </c>
      <c r="C60" s="25">
        <v>58</v>
      </c>
      <c r="D60" s="25">
        <v>58</v>
      </c>
      <c r="E60" s="25">
        <v>-290</v>
      </c>
      <c r="F60" s="25">
        <v>82.100000000000009</v>
      </c>
      <c r="G60" s="25">
        <v>0</v>
      </c>
    </row>
    <row r="61" spans="1:7" x14ac:dyDescent="0.25">
      <c r="A61" s="3" t="s">
        <v>91</v>
      </c>
      <c r="B61" s="26">
        <v>5</v>
      </c>
      <c r="C61" s="25">
        <v>59</v>
      </c>
      <c r="D61" s="25">
        <v>59</v>
      </c>
      <c r="E61" s="25">
        <v>-295</v>
      </c>
      <c r="F61" s="25">
        <v>50</v>
      </c>
      <c r="G61" s="25">
        <v>0</v>
      </c>
    </row>
    <row r="62" spans="1:7" x14ac:dyDescent="0.25">
      <c r="A62" s="3" t="s">
        <v>92</v>
      </c>
      <c r="B62" s="26">
        <v>0</v>
      </c>
      <c r="C62" s="25">
        <v>33.520000000000003</v>
      </c>
      <c r="D62" s="25">
        <v>0</v>
      </c>
      <c r="E62" s="25">
        <v>-145.05000000000007</v>
      </c>
      <c r="F62" s="25">
        <v>0</v>
      </c>
      <c r="G62" s="25">
        <v>-145.05000000000007</v>
      </c>
    </row>
    <row r="63" spans="1:7" x14ac:dyDescent="0.25">
      <c r="A63" s="3" t="s">
        <v>93</v>
      </c>
      <c r="B63" s="26">
        <v>95</v>
      </c>
      <c r="C63" s="25">
        <v>15.49</v>
      </c>
      <c r="D63" s="25">
        <v>14.765263157894738</v>
      </c>
      <c r="E63" s="25">
        <v>-1402.7</v>
      </c>
      <c r="F63" s="25">
        <v>228.45000000000005</v>
      </c>
      <c r="G63" s="25">
        <v>0</v>
      </c>
    </row>
    <row r="64" spans="1:7" x14ac:dyDescent="0.25">
      <c r="A64" s="3" t="s">
        <v>94</v>
      </c>
      <c r="B64" s="26">
        <v>535</v>
      </c>
      <c r="C64" s="25">
        <v>2.9083999999999999</v>
      </c>
      <c r="D64" s="25">
        <v>2.7845233644859815</v>
      </c>
      <c r="E64" s="25">
        <v>-1489.72</v>
      </c>
      <c r="F64" s="25">
        <v>-120.12000000000006</v>
      </c>
      <c r="G64" s="25">
        <v>0</v>
      </c>
    </row>
    <row r="65" spans="1:7" x14ac:dyDescent="0.25">
      <c r="A65" s="3" t="s">
        <v>95</v>
      </c>
      <c r="B65" s="26">
        <v>130</v>
      </c>
      <c r="C65" s="25">
        <v>15</v>
      </c>
      <c r="D65" s="25">
        <v>10.763461538461538</v>
      </c>
      <c r="E65" s="25">
        <v>-1399.25</v>
      </c>
      <c r="F65" s="25">
        <v>-729.74999999999989</v>
      </c>
      <c r="G65" s="25">
        <v>0</v>
      </c>
    </row>
    <row r="66" spans="1:7" x14ac:dyDescent="0.25">
      <c r="A66" s="3" t="s">
        <v>96</v>
      </c>
      <c r="B66" s="26">
        <v>100</v>
      </c>
      <c r="C66" s="25">
        <v>4</v>
      </c>
      <c r="D66" s="25">
        <v>4</v>
      </c>
      <c r="E66" s="25">
        <v>-400</v>
      </c>
      <c r="F66" s="25">
        <v>287</v>
      </c>
      <c r="G66" s="25">
        <v>0</v>
      </c>
    </row>
    <row r="67" spans="1:7" x14ac:dyDescent="0.25">
      <c r="A67" s="3" t="s">
        <v>97</v>
      </c>
      <c r="B67" s="26">
        <v>20</v>
      </c>
      <c r="C67" s="25">
        <v>6.3</v>
      </c>
      <c r="D67" s="25">
        <v>6.3</v>
      </c>
      <c r="E67" s="25">
        <v>-142.5</v>
      </c>
      <c r="F67" s="25">
        <v>-49.399999999999991</v>
      </c>
      <c r="G67" s="25">
        <v>-142.5</v>
      </c>
    </row>
    <row r="68" spans="1:7" x14ac:dyDescent="0.25">
      <c r="A68" s="3" t="s">
        <v>98</v>
      </c>
      <c r="B68" s="26">
        <v>20</v>
      </c>
      <c r="C68" s="25">
        <v>44.02</v>
      </c>
      <c r="D68" s="25">
        <v>43.605000000000004</v>
      </c>
      <c r="E68" s="25">
        <v>-872.1</v>
      </c>
      <c r="F68" s="25">
        <v>142.69999999999996</v>
      </c>
      <c r="G68" s="25">
        <v>0</v>
      </c>
    </row>
    <row r="69" spans="1:7" x14ac:dyDescent="0.25">
      <c r="A69" s="3" t="s">
        <v>99</v>
      </c>
      <c r="B69" s="26">
        <v>15</v>
      </c>
      <c r="C69" s="25">
        <v>80.989999999999995</v>
      </c>
      <c r="D69" s="25">
        <v>79.373333333333321</v>
      </c>
      <c r="E69" s="25">
        <v>-1190.5999999999999</v>
      </c>
      <c r="F69" s="25">
        <v>140.35000000000025</v>
      </c>
      <c r="G69" s="25">
        <v>0</v>
      </c>
    </row>
    <row r="70" spans="1:7" x14ac:dyDescent="0.25">
      <c r="A70" s="3" t="s">
        <v>111</v>
      </c>
      <c r="B70" s="26">
        <v>0</v>
      </c>
      <c r="C70" s="25">
        <v>528.20000000000005</v>
      </c>
      <c r="D70" s="25">
        <v>0</v>
      </c>
      <c r="E70" s="25">
        <v>1002</v>
      </c>
      <c r="F70" s="25">
        <v>0</v>
      </c>
      <c r="G70" s="25">
        <v>1002</v>
      </c>
    </row>
    <row r="71" spans="1:7" x14ac:dyDescent="0.25">
      <c r="A71" s="32" t="s">
        <v>23</v>
      </c>
      <c r="B71" s="26">
        <v>0</v>
      </c>
      <c r="C71" s="25">
        <v>528.20000000000005</v>
      </c>
      <c r="D71" s="25">
        <v>0</v>
      </c>
      <c r="E71" s="25">
        <v>1002</v>
      </c>
      <c r="F71" s="25">
        <v>0</v>
      </c>
      <c r="G71" s="25">
        <v>1002</v>
      </c>
    </row>
    <row r="72" spans="1:7" x14ac:dyDescent="0.25">
      <c r="A72" s="33" t="s">
        <v>112</v>
      </c>
      <c r="B72" s="26">
        <v>10</v>
      </c>
      <c r="C72" s="25">
        <v>428</v>
      </c>
      <c r="D72" s="25">
        <v>0</v>
      </c>
      <c r="E72" s="25">
        <v>-4280</v>
      </c>
      <c r="F72" s="25">
        <v>0</v>
      </c>
      <c r="G72" s="25">
        <v>0</v>
      </c>
    </row>
    <row r="73" spans="1:7" x14ac:dyDescent="0.25">
      <c r="A73" s="34">
        <v>45663.395833333336</v>
      </c>
      <c r="B73" s="26">
        <v>10</v>
      </c>
      <c r="C73" s="25">
        <v>428</v>
      </c>
      <c r="D73" s="25">
        <v>0</v>
      </c>
      <c r="E73" s="25">
        <v>-4280</v>
      </c>
      <c r="F73" s="25">
        <v>0</v>
      </c>
      <c r="G73" s="25">
        <v>0</v>
      </c>
    </row>
    <row r="74" spans="1:7" x14ac:dyDescent="0.25">
      <c r="A74" s="33" t="s">
        <v>113</v>
      </c>
      <c r="B74" s="26">
        <v>-10</v>
      </c>
      <c r="C74" s="25">
        <v>528.20000000000005</v>
      </c>
      <c r="D74" s="25">
        <v>0</v>
      </c>
      <c r="E74" s="25">
        <v>5282</v>
      </c>
      <c r="F74" s="25">
        <v>0</v>
      </c>
      <c r="G74" s="25">
        <v>1002</v>
      </c>
    </row>
    <row r="75" spans="1:7" x14ac:dyDescent="0.25">
      <c r="A75" s="34">
        <v>45937.395833333336</v>
      </c>
      <c r="B75" s="26">
        <v>-10</v>
      </c>
      <c r="C75" s="25">
        <v>528.20000000000005</v>
      </c>
      <c r="D75" s="25">
        <v>0</v>
      </c>
      <c r="E75" s="25">
        <v>5282</v>
      </c>
      <c r="F75" s="25">
        <v>0</v>
      </c>
      <c r="G75" s="25">
        <v>1002</v>
      </c>
    </row>
  </sheetData>
  <mergeCells count="2">
    <mergeCell ref="E1:E2"/>
    <mergeCell ref="D1:D2"/>
  </mergeCells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594A-FF22-4BA6-9F80-21FE21720BD9}">
  <sheetPr codeName="Sheet6"/>
  <dimension ref="A1:F64"/>
  <sheetViews>
    <sheetView zoomScale="120" zoomScaleNormal="120" workbookViewId="0">
      <pane ySplit="1" topLeftCell="A2" activePane="bottomLeft" state="frozen"/>
      <selection pane="bottomLeft" activeCell="C9" sqref="C9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20" bestFit="1" customWidth="1"/>
    <col min="4" max="4" width="11.42578125" bestFit="1" customWidth="1"/>
    <col min="5" max="5" width="14.85546875" customWidth="1"/>
    <col min="6" max="6" width="9.7109375" bestFit="1" customWidth="1"/>
    <col min="7" max="7" width="9.7109375" customWidth="1"/>
    <col min="8" max="8" width="12.140625" customWidth="1"/>
    <col min="9" max="9" width="14.28515625" customWidth="1"/>
    <col min="10" max="10" width="20" bestFit="1" customWidth="1"/>
    <col min="11" max="11" width="16.85546875" customWidth="1"/>
    <col min="12" max="12" width="15.28515625" customWidth="1"/>
    <col min="13" max="13" width="6.42578125" bestFit="1" customWidth="1"/>
    <col min="14" max="14" width="15.5703125" bestFit="1" customWidth="1"/>
    <col min="15" max="15" width="11" bestFit="1" customWidth="1"/>
    <col min="16" max="17" width="3.28515625" bestFit="1" customWidth="1"/>
    <col min="18" max="18" width="9.28515625" bestFit="1" customWidth="1"/>
    <col min="19" max="19" width="6.5703125" bestFit="1" customWidth="1"/>
    <col min="20" max="20" width="3.28515625" bestFit="1" customWidth="1"/>
    <col min="21" max="21" width="12" bestFit="1" customWidth="1"/>
    <col min="22" max="22" width="6.5703125" bestFit="1" customWidth="1"/>
    <col min="23" max="24" width="6.42578125" bestFit="1" customWidth="1"/>
    <col min="25" max="25" width="3.28515625" bestFit="1" customWidth="1"/>
    <col min="26" max="26" width="6.42578125" bestFit="1" customWidth="1"/>
    <col min="27" max="27" width="3.28515625" bestFit="1" customWidth="1"/>
    <col min="28" max="28" width="6.42578125" bestFit="1" customWidth="1"/>
    <col min="29" max="29" width="5.42578125" bestFit="1" customWidth="1"/>
    <col min="30" max="30" width="3.28515625" bestFit="1" customWidth="1"/>
    <col min="31" max="33" width="6.42578125" bestFit="1" customWidth="1"/>
    <col min="34" max="34" width="3.28515625" bestFit="1" customWidth="1"/>
    <col min="35" max="35" width="6.42578125" bestFit="1" customWidth="1"/>
    <col min="36" max="37" width="3.28515625" bestFit="1" customWidth="1"/>
    <col min="38" max="39" width="5.42578125" bestFit="1" customWidth="1"/>
    <col min="40" max="40" width="3.28515625" bestFit="1" customWidth="1"/>
    <col min="41" max="42" width="6.42578125" bestFit="1" customWidth="1"/>
    <col min="43" max="43" width="4.28515625" bestFit="1" customWidth="1"/>
    <col min="44" max="44" width="6.42578125" bestFit="1" customWidth="1"/>
    <col min="45" max="45" width="5.42578125" bestFit="1" customWidth="1"/>
    <col min="46" max="47" width="6.42578125" bestFit="1" customWidth="1"/>
    <col min="48" max="48" width="5.42578125" bestFit="1" customWidth="1"/>
    <col min="49" max="49" width="6.42578125" bestFit="1" customWidth="1"/>
    <col min="50" max="50" width="5.42578125" bestFit="1" customWidth="1"/>
    <col min="51" max="51" width="4.28515625" bestFit="1" customWidth="1"/>
    <col min="52" max="52" width="6.42578125" bestFit="1" customWidth="1"/>
    <col min="53" max="53" width="5.42578125" bestFit="1" customWidth="1"/>
    <col min="54" max="54" width="6.42578125" bestFit="1" customWidth="1"/>
    <col min="55" max="55" width="3.28515625" bestFit="1" customWidth="1"/>
    <col min="56" max="57" width="6.42578125" bestFit="1" customWidth="1"/>
    <col min="58" max="58" width="5.42578125" bestFit="1" customWidth="1"/>
    <col min="59" max="59" width="6.42578125" bestFit="1" customWidth="1"/>
    <col min="60" max="60" width="3.28515625" bestFit="1" customWidth="1"/>
    <col min="61" max="63" width="6.42578125" bestFit="1" customWidth="1"/>
    <col min="64" max="64" width="4.28515625" bestFit="1" customWidth="1"/>
    <col min="65" max="65" width="6.42578125" bestFit="1" customWidth="1"/>
    <col min="66" max="66" width="5.42578125" bestFit="1" customWidth="1"/>
    <col min="67" max="69" width="6.42578125" bestFit="1" customWidth="1"/>
    <col min="70" max="70" width="4.28515625" bestFit="1" customWidth="1"/>
    <col min="71" max="73" width="6.42578125" bestFit="1" customWidth="1"/>
    <col min="74" max="75" width="5.42578125" bestFit="1" customWidth="1"/>
    <col min="76" max="76" width="4.28515625" bestFit="1" customWidth="1"/>
    <col min="77" max="77" width="6.42578125" bestFit="1" customWidth="1"/>
    <col min="78" max="78" width="4.28515625" bestFit="1" customWidth="1"/>
    <col min="79" max="83" width="6.42578125" bestFit="1" customWidth="1"/>
    <col min="84" max="84" width="5.42578125" bestFit="1" customWidth="1"/>
    <col min="85" max="85" width="6.42578125" bestFit="1" customWidth="1"/>
    <col min="86" max="86" width="7.5703125" bestFit="1" customWidth="1"/>
    <col min="87" max="88" width="5.42578125" bestFit="1" customWidth="1"/>
    <col min="89" max="92" width="6.42578125" bestFit="1" customWidth="1"/>
    <col min="93" max="94" width="3.28515625" bestFit="1" customWidth="1"/>
    <col min="95" max="95" width="6.42578125" bestFit="1" customWidth="1"/>
    <col min="96" max="96" width="7.5703125" bestFit="1" customWidth="1"/>
    <col min="97" max="98" width="6.42578125" bestFit="1" customWidth="1"/>
    <col min="99" max="100" width="5.42578125" bestFit="1" customWidth="1"/>
    <col min="101" max="101" width="7.5703125" bestFit="1" customWidth="1"/>
    <col min="102" max="102" width="4.28515625" bestFit="1" customWidth="1"/>
    <col min="103" max="103" width="7.5703125" bestFit="1" customWidth="1"/>
    <col min="104" max="104" width="9.7109375" bestFit="1" customWidth="1"/>
    <col min="105" max="105" width="7.5703125" bestFit="1" customWidth="1"/>
    <col min="106" max="106" width="6.42578125" bestFit="1" customWidth="1"/>
    <col min="107" max="108" width="7.5703125" bestFit="1" customWidth="1"/>
    <col min="109" max="109" width="8.5703125" bestFit="1" customWidth="1"/>
    <col min="110" max="110" width="4.28515625" bestFit="1" customWidth="1"/>
    <col min="111" max="112" width="7.5703125" bestFit="1" customWidth="1"/>
    <col min="113" max="113" width="6.42578125" bestFit="1" customWidth="1"/>
    <col min="114" max="114" width="4.28515625" bestFit="1" customWidth="1"/>
    <col min="115" max="116" width="6.42578125" bestFit="1" customWidth="1"/>
    <col min="117" max="117" width="7.5703125" bestFit="1" customWidth="1"/>
    <col min="118" max="118" width="4.28515625" bestFit="1" customWidth="1"/>
    <col min="119" max="120" width="7.5703125" bestFit="1" customWidth="1"/>
    <col min="121" max="122" width="6.42578125" bestFit="1" customWidth="1"/>
    <col min="123" max="124" width="7.5703125" bestFit="1" customWidth="1"/>
    <col min="125" max="125" width="11.85546875" bestFit="1" customWidth="1"/>
  </cols>
  <sheetData>
    <row r="1" spans="1:6" s="7" customFormat="1" ht="18" customHeight="1" x14ac:dyDescent="0.25">
      <c r="D1"/>
      <c r="E1"/>
      <c r="F1"/>
    </row>
    <row r="2" spans="1:6" s="7" customFormat="1" x14ac:dyDescent="0.25">
      <c r="A2" s="28">
        <v>2025</v>
      </c>
      <c r="D2"/>
      <c r="E2"/>
      <c r="F2"/>
    </row>
    <row r="3" spans="1:6" x14ac:dyDescent="0.25">
      <c r="A3" s="7" t="s">
        <v>10</v>
      </c>
      <c r="B3" s="7" t="s">
        <v>11</v>
      </c>
      <c r="C3" s="8" t="s">
        <v>15</v>
      </c>
      <c r="D3" s="2"/>
      <c r="E3" s="2"/>
      <c r="F3" s="9"/>
    </row>
    <row r="4" spans="1:6" x14ac:dyDescent="0.25">
      <c r="A4" s="10">
        <v>45566</v>
      </c>
      <c r="B4" s="2">
        <f>SUMIFS(trades[Realized  P&amp;L], trades[Exec Time], "&gt;="&amp;monthly_pl[[#This Row],[Month]], trades[Exec Time], "&lt;="&amp;EOMONTH(monthly_pl[[#This Row],[Month]],0), trades[Open P&amp;L], "")</f>
        <v>0</v>
      </c>
      <c r="C4" s="2">
        <f>SUM($B$4:monthly_pl[[#This Row],[Gross P&amp;L]])</f>
        <v>0</v>
      </c>
      <c r="D4" s="2"/>
      <c r="E4" s="2"/>
      <c r="F4" s="9"/>
    </row>
    <row r="5" spans="1:6" x14ac:dyDescent="0.25">
      <c r="A5" s="10">
        <v>45597</v>
      </c>
      <c r="B5" s="2">
        <f>SUMIFS(trades[Realized  P&amp;L], trades[Exec Time], "&gt;="&amp;monthly_pl[[#This Row],[Month]], trades[Exec Time], "&lt;="&amp;EOMONTH(monthly_pl[[#This Row],[Month]],0), trades[Open P&amp;L], "")</f>
        <v>0</v>
      </c>
      <c r="C5" s="2">
        <f>SUM($B$4:monthly_pl[[#This Row],[Gross P&amp;L]])</f>
        <v>0</v>
      </c>
      <c r="D5" s="2"/>
      <c r="E5" s="2"/>
      <c r="F5" s="9"/>
    </row>
    <row r="6" spans="1:6" x14ac:dyDescent="0.25">
      <c r="A6" s="10">
        <v>45627</v>
      </c>
      <c r="B6" s="2">
        <f ca="1">SUMIFS(trades[Realized  P&amp;L], trades[Exec Time], "&gt;="&amp;monthly_pl[[#This Row],[Month]], trades[Exec Time], "&lt;="&amp;EOMONTH(monthly_pl[[#This Row],[Month]],0), trades[Open P&amp;L], "")</f>
        <v>717.61599999999999</v>
      </c>
      <c r="C6" s="2">
        <f ca="1">SUM($B$4:monthly_pl[[#This Row],[Gross P&amp;L]])</f>
        <v>717.61599999999999</v>
      </c>
      <c r="D6" s="2"/>
      <c r="E6" s="2"/>
      <c r="F6" s="9"/>
    </row>
    <row r="7" spans="1:6" x14ac:dyDescent="0.25">
      <c r="A7" s="10">
        <v>45658</v>
      </c>
      <c r="B7" s="2">
        <f>SUMIFS(trades[Realized  P&amp;L], trades[Exec Time], "&gt;="&amp;monthly_pl[[#This Row],[Month]], trades[Exec Time], "&lt;="&amp;EOMONTH(monthly_pl[[#This Row],[Month]],0), trades[Open P&amp;L], "")</f>
        <v>0</v>
      </c>
      <c r="C7" s="2">
        <f ca="1">SUM($B$4:monthly_pl[[#This Row],[Gross P&amp;L]])</f>
        <v>717.61599999999999</v>
      </c>
      <c r="D7" s="2"/>
      <c r="E7" s="2"/>
      <c r="F7" s="9"/>
    </row>
    <row r="8" spans="1:6" x14ac:dyDescent="0.25">
      <c r="A8" s="10">
        <v>45689</v>
      </c>
      <c r="B8" s="2">
        <f>SUMIFS(trades[Realized  P&amp;L], trades[Exec Time], "&gt;="&amp;monthly_pl[[#This Row],[Month]], trades[Exec Time], "&lt;="&amp;EOMONTH(monthly_pl[[#This Row],[Month]],0), trades[Open P&amp;L], "")</f>
        <v>0</v>
      </c>
      <c r="C8" s="2">
        <f ca="1">SUM($B$4:monthly_pl[[#This Row],[Gross P&amp;L]])</f>
        <v>717.61599999999999</v>
      </c>
      <c r="D8" s="2"/>
      <c r="E8" s="2"/>
      <c r="F8" s="9"/>
    </row>
    <row r="9" spans="1:6" x14ac:dyDescent="0.25">
      <c r="A9" s="10">
        <v>45717</v>
      </c>
      <c r="B9" s="2">
        <f>SUMIFS(trades[Realized  P&amp;L], trades[Exec Time], "&gt;="&amp;monthly_pl[[#This Row],[Month]], trades[Exec Time], "&lt;="&amp;EOMONTH(monthly_pl[[#This Row],[Month]],0), trades[Open P&amp;L], "")</f>
        <v>0</v>
      </c>
      <c r="C9" s="2">
        <f ca="1">SUM($B$4:monthly_pl[[#This Row],[Gross P&amp;L]])</f>
        <v>717.61599999999999</v>
      </c>
      <c r="D9" s="2"/>
      <c r="E9" s="2"/>
      <c r="F9" s="9"/>
    </row>
    <row r="10" spans="1:6" x14ac:dyDescent="0.25">
      <c r="A10" s="10">
        <v>45748</v>
      </c>
      <c r="B10" s="2">
        <f>SUMIFS(trades[Realized  P&amp;L], trades[Exec Time], "&gt;="&amp;monthly_pl[[#This Row],[Month]], trades[Exec Time], "&lt;="&amp;EOMONTH(monthly_pl[[#This Row],[Month]],0), trades[Open P&amp;L], "")</f>
        <v>0</v>
      </c>
      <c r="C10" s="2">
        <f ca="1">SUM($B$4:monthly_pl[[#This Row],[Gross P&amp;L]])</f>
        <v>717.61599999999999</v>
      </c>
      <c r="D10" s="2"/>
      <c r="E10" s="2"/>
      <c r="F10" s="9"/>
    </row>
    <row r="11" spans="1:6" x14ac:dyDescent="0.25">
      <c r="A11" s="10">
        <v>45778</v>
      </c>
      <c r="B11" s="2">
        <f>SUMIFS(trades[Realized  P&amp;L], trades[Exec Time], "&gt;="&amp;monthly_pl[[#This Row],[Month]], trades[Exec Time], "&lt;="&amp;EOMONTH(monthly_pl[[#This Row],[Month]],0), trades[Open P&amp;L], "")</f>
        <v>0</v>
      </c>
      <c r="C11" s="2">
        <f ca="1">SUM($B$4:monthly_pl[[#This Row],[Gross P&amp;L]])</f>
        <v>717.61599999999999</v>
      </c>
      <c r="D11" s="2"/>
      <c r="E11" s="2"/>
      <c r="F11" s="9"/>
    </row>
    <row r="12" spans="1:6" x14ac:dyDescent="0.25">
      <c r="A12" s="10">
        <v>45809</v>
      </c>
      <c r="B12" s="2">
        <f>SUMIFS(trades[Realized  P&amp;L], trades[Exec Time], "&gt;="&amp;monthly_pl[[#This Row],[Month]], trades[Exec Time], "&lt;="&amp;EOMONTH(monthly_pl[[#This Row],[Month]],0), trades[Open P&amp;L], "")</f>
        <v>0</v>
      </c>
      <c r="C12" s="2">
        <f ca="1">SUM($B$4:monthly_pl[[#This Row],[Gross P&amp;L]])</f>
        <v>717.61599999999999</v>
      </c>
      <c r="D12" s="2"/>
      <c r="E12" s="2"/>
      <c r="F12" s="9"/>
    </row>
    <row r="13" spans="1:6" x14ac:dyDescent="0.25">
      <c r="A13" s="10">
        <v>45839</v>
      </c>
      <c r="B13" s="2">
        <f ca="1">SUMIFS(trades[Realized  P&amp;L], trades[Exec Time], "&gt;="&amp;monthly_pl[[#This Row],[Month]], trades[Exec Time], "&lt;="&amp;EOMONTH(monthly_pl[[#This Row],[Month]],0), trades[Open P&amp;L], "")</f>
        <v>-142.5</v>
      </c>
      <c r="C13" s="2">
        <f ca="1">SUM($B$4:monthly_pl[[#This Row],[Gross P&amp;L]])</f>
        <v>575.11599999999999</v>
      </c>
      <c r="D13" s="2"/>
      <c r="E13" s="2"/>
      <c r="F13" s="9"/>
    </row>
    <row r="14" spans="1:6" x14ac:dyDescent="0.25">
      <c r="A14" s="10">
        <v>45870</v>
      </c>
      <c r="B14" s="2">
        <f>SUMIFS(trades[Realized  P&amp;L], trades[Exec Time], "&gt;="&amp;monthly_pl[[#This Row],[Month]], trades[Exec Time], "&lt;="&amp;EOMONTH(monthly_pl[[#This Row],[Month]],0), trades[Open P&amp;L], "")</f>
        <v>0</v>
      </c>
      <c r="C14" s="2">
        <f ca="1">SUM($B$4:monthly_pl[[#This Row],[Gross P&amp;L]])</f>
        <v>575.11599999999999</v>
      </c>
      <c r="D14" s="2"/>
      <c r="E14" s="2"/>
      <c r="F14" s="9"/>
    </row>
    <row r="15" spans="1:6" x14ac:dyDescent="0.25">
      <c r="A15" s="10">
        <v>45901</v>
      </c>
      <c r="B15" s="2">
        <f>SUMIFS(trades[Realized  P&amp;L], trades[Exec Time], "&gt;="&amp;monthly_pl[[#This Row],[Month]], trades[Exec Time], "&lt;="&amp;EOMONTH(monthly_pl[[#This Row],[Month]],0), trades[Open P&amp;L], "")</f>
        <v>0</v>
      </c>
      <c r="C15" s="2">
        <f ca="1">SUM($B$4:monthly_pl[[#This Row],[Gross P&amp;L]])</f>
        <v>575.11599999999999</v>
      </c>
      <c r="D15" s="2"/>
      <c r="E15" s="2"/>
      <c r="F15" s="9"/>
    </row>
    <row r="16" spans="1:6" x14ac:dyDescent="0.25">
      <c r="A16" s="10">
        <v>45931</v>
      </c>
      <c r="B16" s="2">
        <f ca="1">SUMIFS(trades[Realized  P&amp;L], trades[Exec Time], "&gt;="&amp;monthly_pl[[#This Row],[Month]], trades[Exec Time], "&lt;="&amp;EOMONTH(monthly_pl[[#This Row],[Month]],0), trades[Open P&amp;L], "")</f>
        <v>1002</v>
      </c>
      <c r="C16" s="2">
        <f ca="1">SUM($B$4:monthly_pl[[#This Row],[Gross P&amp;L]])</f>
        <v>1577.116</v>
      </c>
      <c r="D16" s="2"/>
      <c r="E16" s="2"/>
      <c r="F16" s="9"/>
    </row>
    <row r="17" spans="1:6" x14ac:dyDescent="0.25">
      <c r="A17" s="10">
        <v>45962</v>
      </c>
      <c r="B17" s="2">
        <f>SUMIFS(trades[Realized  P&amp;L], trades[Exec Time], "&gt;="&amp;monthly_pl[[#This Row],[Month]], trades[Exec Time], "&lt;="&amp;EOMONTH(monthly_pl[[#This Row],[Month]],0), trades[Open P&amp;L], "")</f>
        <v>0</v>
      </c>
      <c r="C17" s="2">
        <f ca="1">SUM($B$4:monthly_pl[[#This Row],[Gross P&amp;L]])</f>
        <v>1577.116</v>
      </c>
      <c r="D17" s="2"/>
      <c r="E17" s="2"/>
      <c r="F17" s="9"/>
    </row>
    <row r="18" spans="1:6" x14ac:dyDescent="0.25">
      <c r="A18" s="10">
        <v>45992</v>
      </c>
      <c r="B18" s="2">
        <f>SUMIFS(trades[Realized  P&amp;L], trades[Exec Time], "&gt;="&amp;monthly_pl[[#This Row],[Month]], trades[Exec Time], "&lt;="&amp;EOMONTH(monthly_pl[[#This Row],[Month]],0), trades[Open P&amp;L], "")</f>
        <v>0</v>
      </c>
      <c r="C18" s="2">
        <f ca="1">SUM($B$4:monthly_pl[[#This Row],[Gross P&amp;L]])</f>
        <v>1577.116</v>
      </c>
      <c r="D18" s="2"/>
      <c r="E18" s="2"/>
      <c r="F18" s="9"/>
    </row>
    <row r="19" spans="1:6" x14ac:dyDescent="0.25">
      <c r="A19" s="4" t="s">
        <v>12</v>
      </c>
      <c r="B19" s="2">
        <f ca="1">SUBTOTAL(109,monthly_pl[Gross P&amp;L])</f>
        <v>1577.116</v>
      </c>
      <c r="C19" s="2"/>
      <c r="D19" s="2"/>
      <c r="E19" s="2"/>
      <c r="F19" s="9"/>
    </row>
    <row r="20" spans="1:6" x14ac:dyDescent="0.25">
      <c r="C20" s="2"/>
      <c r="D20" s="2"/>
      <c r="E20" s="2"/>
      <c r="F20" s="9"/>
    </row>
    <row r="21" spans="1:6" x14ac:dyDescent="0.25">
      <c r="A21" s="28">
        <v>2026</v>
      </c>
      <c r="C21" s="2"/>
      <c r="D21" s="2"/>
      <c r="E21" s="2"/>
      <c r="F21" s="9"/>
    </row>
    <row r="22" spans="1:6" x14ac:dyDescent="0.25">
      <c r="A22" s="7" t="s">
        <v>10</v>
      </c>
      <c r="B22" s="7" t="s">
        <v>11</v>
      </c>
      <c r="C22" s="8" t="s">
        <v>15</v>
      </c>
      <c r="D22" s="2"/>
      <c r="E22" s="2"/>
      <c r="F22" s="9"/>
    </row>
    <row r="23" spans="1:6" x14ac:dyDescent="0.25">
      <c r="A23" s="10">
        <v>46023</v>
      </c>
      <c r="B23" s="2">
        <f>SUMIFS(trades[Realized  P&amp;L], trades[Exec Time], "&gt;="&amp;monthly_pl9[[#This Row],[Month]], trades[Exec Time], "&lt;="&amp;EOMONTH(monthly_pl9[[#This Row],[Month]],0), trades[Open P&amp;L], "")</f>
        <v>0</v>
      </c>
      <c r="C23" s="2">
        <f ca="1">SUM($B$4:monthly_pl9[[#This Row],[Gross P&amp;L]])</f>
        <v>3154.232</v>
      </c>
      <c r="D23" s="2"/>
      <c r="E23" s="2"/>
      <c r="F23" s="9"/>
    </row>
    <row r="24" spans="1:6" x14ac:dyDescent="0.25">
      <c r="A24" s="10">
        <v>46054</v>
      </c>
      <c r="B24" s="2">
        <f ca="1">SUMIFS(trades[Realized  P&amp;L], trades[Exec Time], "&gt;="&amp;monthly_pl9[[#This Row],[Month]], trades[Exec Time], "&lt;="&amp;EOMONTH(monthly_pl9[[#This Row],[Month]],0), trades[Open P&amp;L], "")</f>
        <v>-145.05000000000007</v>
      </c>
      <c r="C24" s="2">
        <f ca="1">SUM($B$4:monthly_pl9[[#This Row],[Gross P&amp;L]])</f>
        <v>3009.1819999999998</v>
      </c>
      <c r="D24" s="2"/>
      <c r="E24" s="2"/>
      <c r="F24" s="9"/>
    </row>
    <row r="25" spans="1:6" x14ac:dyDescent="0.25">
      <c r="A25" s="10">
        <v>46082</v>
      </c>
      <c r="B25" s="2">
        <f>SUMIFS(trades[Realized  P&amp;L], trades[Exec Time], "&gt;="&amp;monthly_pl9[[#This Row],[Month]], trades[Exec Time], "&lt;="&amp;EOMONTH(monthly_pl9[[#This Row],[Month]],0), trades[Open P&amp;L], "")</f>
        <v>0</v>
      </c>
      <c r="C25" s="2">
        <f ca="1">SUM($B$4:monthly_pl9[[#This Row],[Gross P&amp;L]])</f>
        <v>3009.1819999999998</v>
      </c>
      <c r="D25" s="2"/>
      <c r="E25" s="2"/>
      <c r="F25" s="9"/>
    </row>
    <row r="26" spans="1:6" x14ac:dyDescent="0.25">
      <c r="A26" s="10">
        <v>46113</v>
      </c>
      <c r="B26" s="2">
        <f>SUMIFS(trades[Realized  P&amp;L], trades[Exec Time], "&gt;="&amp;monthly_pl9[[#This Row],[Month]], trades[Exec Time], "&lt;="&amp;EOMONTH(monthly_pl9[[#This Row],[Month]],0), trades[Open P&amp;L], "")</f>
        <v>0</v>
      </c>
      <c r="C26" s="2">
        <f ca="1">SUM($B$4:monthly_pl9[[#This Row],[Gross P&amp;L]])</f>
        <v>3009.1819999999998</v>
      </c>
      <c r="D26" s="2"/>
      <c r="E26" s="2"/>
      <c r="F26" s="9"/>
    </row>
    <row r="27" spans="1:6" x14ac:dyDescent="0.25">
      <c r="A27" s="10">
        <v>46143</v>
      </c>
      <c r="B27" s="2">
        <f>SUMIFS(trades[Realized  P&amp;L], trades[Exec Time], "&gt;="&amp;monthly_pl9[[#This Row],[Month]], trades[Exec Time], "&lt;="&amp;EOMONTH(monthly_pl9[[#This Row],[Month]],0), trades[Open P&amp;L], "")</f>
        <v>0</v>
      </c>
      <c r="C27" s="2">
        <f ca="1">SUM($B$4:monthly_pl9[[#This Row],[Gross P&amp;L]])</f>
        <v>3009.1819999999998</v>
      </c>
      <c r="D27" s="2"/>
      <c r="E27" s="2"/>
      <c r="F27" s="9"/>
    </row>
    <row r="28" spans="1:6" x14ac:dyDescent="0.25">
      <c r="A28" s="10">
        <v>46174</v>
      </c>
      <c r="B28" s="2">
        <f>SUMIFS(trades[Realized  P&amp;L], trades[Exec Time], "&gt;="&amp;monthly_pl9[[#This Row],[Month]], trades[Exec Time], "&lt;="&amp;EOMONTH(monthly_pl9[[#This Row],[Month]],0), trades[Open P&amp;L], "")</f>
        <v>0</v>
      </c>
      <c r="C28" s="2">
        <f ca="1">SUM($B$4:monthly_pl9[[#This Row],[Gross P&amp;L]])</f>
        <v>3009.1819999999998</v>
      </c>
      <c r="D28" s="2"/>
      <c r="E28" s="2"/>
      <c r="F28" s="9"/>
    </row>
    <row r="29" spans="1:6" x14ac:dyDescent="0.25">
      <c r="A29" s="10">
        <v>46204</v>
      </c>
      <c r="B29" s="2">
        <f>SUMIFS(trades[Realized  P&amp;L], trades[Exec Time], "&gt;="&amp;monthly_pl9[[#This Row],[Month]], trades[Exec Time], "&lt;="&amp;EOMONTH(monthly_pl9[[#This Row],[Month]],0), trades[Open P&amp;L], "")</f>
        <v>0</v>
      </c>
      <c r="C29" s="2">
        <f ca="1">SUM($B$4:monthly_pl9[[#This Row],[Gross P&amp;L]])</f>
        <v>3009.1819999999998</v>
      </c>
      <c r="D29" s="2"/>
      <c r="E29" s="2"/>
      <c r="F29" s="9"/>
    </row>
    <row r="30" spans="1:6" x14ac:dyDescent="0.25">
      <c r="A30" s="10">
        <v>46235</v>
      </c>
      <c r="B30" s="2">
        <f>SUMIFS(trades[Realized  P&amp;L], trades[Exec Time], "&gt;="&amp;monthly_pl9[[#This Row],[Month]], trades[Exec Time], "&lt;="&amp;EOMONTH(monthly_pl9[[#This Row],[Month]],0), trades[Open P&amp;L], "")</f>
        <v>0</v>
      </c>
      <c r="C30" s="2">
        <f ca="1">SUM($B$4:monthly_pl9[[#This Row],[Gross P&amp;L]])</f>
        <v>3009.1819999999998</v>
      </c>
      <c r="D30" s="2"/>
      <c r="E30" s="2"/>
      <c r="F30" s="9"/>
    </row>
    <row r="31" spans="1:6" x14ac:dyDescent="0.25">
      <c r="A31" s="10">
        <v>46266</v>
      </c>
      <c r="B31" s="2">
        <f>SUMIFS(trades[Realized  P&amp;L], trades[Exec Time], "&gt;="&amp;monthly_pl9[[#This Row],[Month]], trades[Exec Time], "&lt;="&amp;EOMONTH(monthly_pl9[[#This Row],[Month]],0), trades[Open P&amp;L], "")</f>
        <v>0</v>
      </c>
      <c r="C31" s="2">
        <f ca="1">SUM($B$4:monthly_pl9[[#This Row],[Gross P&amp;L]])</f>
        <v>3009.1819999999998</v>
      </c>
      <c r="D31" s="2"/>
      <c r="E31" s="2"/>
      <c r="F31" s="9"/>
    </row>
    <row r="32" spans="1:6" x14ac:dyDescent="0.25">
      <c r="A32" s="10">
        <v>46296</v>
      </c>
      <c r="B32" s="2">
        <f>SUMIFS(trades[Realized  P&amp;L], trades[Exec Time], "&gt;="&amp;monthly_pl9[[#This Row],[Month]], trades[Exec Time], "&lt;="&amp;EOMONTH(monthly_pl9[[#This Row],[Month]],0), trades[Open P&amp;L], "")</f>
        <v>0</v>
      </c>
      <c r="C32" s="2">
        <f ca="1">SUM($B$4:monthly_pl9[[#This Row],[Gross P&amp;L]])</f>
        <v>3009.1819999999998</v>
      </c>
      <c r="D32" s="2"/>
      <c r="E32" s="2"/>
      <c r="F32" s="9"/>
    </row>
    <row r="33" spans="1:6" x14ac:dyDescent="0.25">
      <c r="A33" s="10">
        <v>46327</v>
      </c>
      <c r="B33" s="2">
        <f>SUMIFS(trades[Realized  P&amp;L], trades[Exec Time], "&gt;="&amp;monthly_pl9[[#This Row],[Month]], trades[Exec Time], "&lt;="&amp;EOMONTH(monthly_pl9[[#This Row],[Month]],0), trades[Open P&amp;L], "")</f>
        <v>0</v>
      </c>
      <c r="C33" s="2">
        <f ca="1">SUM($B$4:monthly_pl9[[#This Row],[Gross P&amp;L]])</f>
        <v>3009.1819999999998</v>
      </c>
      <c r="D33" s="2"/>
      <c r="E33" s="2"/>
      <c r="F33" s="9"/>
    </row>
    <row r="34" spans="1:6" x14ac:dyDescent="0.25">
      <c r="A34" s="10">
        <v>46357</v>
      </c>
      <c r="B34" s="2">
        <f>SUMIFS(trades[Realized  P&amp;L], trades[Exec Time], "&gt;="&amp;monthly_pl9[[#This Row],[Month]], trades[Exec Time], "&lt;="&amp;EOMONTH(monthly_pl9[[#This Row],[Month]],0), trades[Open P&amp;L], "")</f>
        <v>0</v>
      </c>
      <c r="C34" s="2">
        <f ca="1">SUM($B$4:monthly_pl9[[#This Row],[Gross P&amp;L]])</f>
        <v>3009.1819999999998</v>
      </c>
      <c r="D34" s="2"/>
      <c r="E34" s="2"/>
      <c r="F34" s="9"/>
    </row>
    <row r="35" spans="1:6" x14ac:dyDescent="0.25">
      <c r="A35" s="4" t="s">
        <v>12</v>
      </c>
      <c r="B35" s="2">
        <f ca="1">SUBTOTAL(109,monthly_pl9[Gross P&amp;L])</f>
        <v>-145.05000000000007</v>
      </c>
      <c r="C35" s="2"/>
      <c r="D35" s="2"/>
      <c r="E35" s="2"/>
      <c r="F35" s="9"/>
    </row>
    <row r="36" spans="1:6" x14ac:dyDescent="0.25">
      <c r="C36" s="2"/>
      <c r="D36" s="2"/>
      <c r="E36" s="2"/>
      <c r="F36" s="9"/>
    </row>
    <row r="37" spans="1:6" x14ac:dyDescent="0.25">
      <c r="C37" s="2"/>
      <c r="D37" s="2"/>
      <c r="E37" s="2"/>
      <c r="F37" s="9"/>
    </row>
    <row r="38" spans="1:6" x14ac:dyDescent="0.25">
      <c r="C38" s="2"/>
      <c r="D38" s="2"/>
      <c r="E38" s="2"/>
      <c r="F38" s="9"/>
    </row>
    <row r="39" spans="1:6" x14ac:dyDescent="0.25">
      <c r="C39" s="2"/>
      <c r="D39" s="2"/>
      <c r="E39" s="2"/>
      <c r="F39" s="9"/>
    </row>
    <row r="40" spans="1:6" x14ac:dyDescent="0.25">
      <c r="C40" s="2"/>
      <c r="D40" s="2"/>
      <c r="E40" s="2"/>
      <c r="F40" s="9"/>
    </row>
    <row r="41" spans="1:6" x14ac:dyDescent="0.25">
      <c r="C41" s="2"/>
      <c r="D41" s="2"/>
      <c r="E41" s="2"/>
      <c r="F41" s="9"/>
    </row>
    <row r="42" spans="1:6" x14ac:dyDescent="0.25">
      <c r="C42" s="2"/>
      <c r="D42" s="2"/>
      <c r="E42" s="2"/>
      <c r="F42" s="9"/>
    </row>
    <row r="43" spans="1:6" x14ac:dyDescent="0.25">
      <c r="C43" s="2"/>
      <c r="D43" s="2"/>
      <c r="E43" s="2"/>
      <c r="F43" s="9"/>
    </row>
    <row r="44" spans="1:6" x14ac:dyDescent="0.25">
      <c r="C44" s="2"/>
      <c r="D44" s="2"/>
      <c r="E44" s="2"/>
      <c r="F44" s="9"/>
    </row>
    <row r="45" spans="1:6" x14ac:dyDescent="0.25">
      <c r="C45" s="2"/>
      <c r="D45" s="2"/>
      <c r="E45" s="2"/>
      <c r="F45" s="9"/>
    </row>
    <row r="46" spans="1:6" x14ac:dyDescent="0.25">
      <c r="C46" s="2"/>
      <c r="D46" s="2"/>
      <c r="E46" s="2"/>
      <c r="F46" s="9"/>
    </row>
    <row r="47" spans="1:6" x14ac:dyDescent="0.25">
      <c r="C47" s="2"/>
      <c r="D47" s="2"/>
      <c r="E47" s="2"/>
      <c r="F47" s="9"/>
    </row>
    <row r="48" spans="1:6" x14ac:dyDescent="0.25">
      <c r="C48" s="2"/>
      <c r="D48" s="2"/>
      <c r="E48" s="2"/>
      <c r="F48" s="9"/>
    </row>
    <row r="49" spans="3:6" x14ac:dyDescent="0.25">
      <c r="C49" s="2"/>
      <c r="D49" s="2"/>
      <c r="E49" s="2"/>
      <c r="F49" s="9"/>
    </row>
    <row r="50" spans="3:6" x14ac:dyDescent="0.25">
      <c r="C50" s="2"/>
      <c r="D50" s="2"/>
      <c r="E50" s="2"/>
      <c r="F50" s="9"/>
    </row>
    <row r="51" spans="3:6" x14ac:dyDescent="0.25">
      <c r="C51" s="2"/>
      <c r="D51" s="2"/>
      <c r="E51" s="2"/>
      <c r="F51" s="9"/>
    </row>
    <row r="52" spans="3:6" x14ac:dyDescent="0.25">
      <c r="C52" s="2"/>
      <c r="D52" s="2"/>
      <c r="E52" s="2"/>
      <c r="F52" s="9"/>
    </row>
    <row r="53" spans="3:6" x14ac:dyDescent="0.25">
      <c r="C53" s="2"/>
      <c r="D53" s="2"/>
      <c r="E53" s="2"/>
      <c r="F53" s="9"/>
    </row>
    <row r="54" spans="3:6" x14ac:dyDescent="0.25">
      <c r="C54" s="2"/>
      <c r="D54" s="2"/>
      <c r="E54" s="2"/>
      <c r="F54" s="9"/>
    </row>
    <row r="55" spans="3:6" x14ac:dyDescent="0.25">
      <c r="C55" s="2"/>
      <c r="D55" s="2"/>
      <c r="E55" s="2"/>
      <c r="F55" s="9"/>
    </row>
    <row r="56" spans="3:6" x14ac:dyDescent="0.25">
      <c r="C56" s="2"/>
      <c r="D56" s="2"/>
      <c r="E56" s="2"/>
      <c r="F56" s="9"/>
    </row>
    <row r="57" spans="3:6" x14ac:dyDescent="0.25">
      <c r="C57" s="2"/>
      <c r="D57" s="2"/>
      <c r="E57" s="2"/>
      <c r="F57" s="9"/>
    </row>
    <row r="58" spans="3:6" x14ac:dyDescent="0.25">
      <c r="C58" s="2"/>
      <c r="D58" s="2"/>
      <c r="E58" s="2"/>
      <c r="F58" s="9"/>
    </row>
    <row r="59" spans="3:6" x14ac:dyDescent="0.25">
      <c r="C59" s="2"/>
      <c r="D59" s="2"/>
      <c r="E59" s="2"/>
      <c r="F59" s="9"/>
    </row>
    <row r="60" spans="3:6" x14ac:dyDescent="0.25">
      <c r="C60" s="2"/>
      <c r="D60" s="2"/>
      <c r="E60" s="2"/>
      <c r="F60" s="9"/>
    </row>
    <row r="61" spans="3:6" x14ac:dyDescent="0.25">
      <c r="C61" s="2"/>
      <c r="D61" s="2"/>
      <c r="E61" s="2"/>
      <c r="F61" s="9"/>
    </row>
    <row r="62" spans="3:6" x14ac:dyDescent="0.25">
      <c r="C62" s="2"/>
      <c r="D62" s="2"/>
      <c r="E62" s="2"/>
      <c r="F62" s="9"/>
    </row>
    <row r="63" spans="3:6" x14ac:dyDescent="0.25">
      <c r="C63" s="2"/>
      <c r="D63" s="2"/>
      <c r="E63" s="2"/>
      <c r="F63" s="9"/>
    </row>
    <row r="64" spans="3:6" x14ac:dyDescent="0.25">
      <c r="C64" s="2"/>
      <c r="D64" s="2"/>
      <c r="E64" s="2"/>
      <c r="F64" s="9"/>
    </row>
  </sheetData>
  <pageMargins left="0.7" right="0.7" top="0.75" bottom="0.75" header="0.3" footer="0.3"/>
  <drawing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F4261F-F673-4CD8-8729-CCBC056937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Dynamic Path</vt:lpstr>
      <vt:lpstr>value_weight</vt:lpstr>
      <vt:lpstr>undervalued_trades</vt:lpstr>
      <vt:lpstr>Portfolio Summary</vt:lpstr>
      <vt:lpstr>Trades Summary</vt:lpstr>
      <vt:lpstr>Monthly P&amp;L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Le, Khoi</dc:creator>
  <cp:lastModifiedBy>Le, Khoi</cp:lastModifiedBy>
  <dcterms:created xsi:type="dcterms:W3CDTF">2025-11-18T03:27:29Z</dcterms:created>
  <dcterms:modified xsi:type="dcterms:W3CDTF">2026-02-03T23:48:02Z</dcterms:modified>
</cp:coreProperties>
</file>